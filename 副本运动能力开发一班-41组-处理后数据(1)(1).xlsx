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ujiaheng\Desktop\222\"/>
    </mc:Choice>
  </mc:AlternateContent>
  <xr:revisionPtr revIDLastSave="0" documentId="13_ncr:1_{9D3D49ED-3039-45D3-835A-0F666A8DD84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Sheet2!$P$1:$P$210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" l="1"/>
  <c r="I5" i="2"/>
  <c r="I10" i="2"/>
  <c r="I11" i="2"/>
  <c r="I12" i="2"/>
  <c r="I13" i="2"/>
  <c r="I14" i="2"/>
  <c r="I6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41" i="2"/>
  <c r="I42" i="2"/>
  <c r="I43" i="2"/>
  <c r="I30" i="2"/>
  <c r="I44" i="2"/>
  <c r="I45" i="2"/>
  <c r="I46" i="2"/>
  <c r="I47" i="2"/>
  <c r="I48" i="2"/>
  <c r="I49" i="2"/>
  <c r="I50" i="2"/>
  <c r="I51" i="2"/>
  <c r="I52" i="2"/>
  <c r="I53" i="2"/>
  <c r="I31" i="2"/>
  <c r="I54" i="2"/>
  <c r="I55" i="2"/>
  <c r="I56" i="2"/>
  <c r="I57" i="2"/>
  <c r="I58" i="2"/>
  <c r="I59" i="2"/>
  <c r="I60" i="2"/>
  <c r="I61" i="2"/>
  <c r="I62" i="2"/>
  <c r="I32" i="2"/>
  <c r="I63" i="2"/>
  <c r="I64" i="2"/>
  <c r="I65" i="2"/>
  <c r="I66" i="2"/>
  <c r="I67" i="2"/>
  <c r="I68" i="2"/>
  <c r="I69" i="2"/>
  <c r="I70" i="2"/>
  <c r="I33" i="2"/>
  <c r="I71" i="2"/>
  <c r="I72" i="2"/>
  <c r="I73" i="2"/>
  <c r="I74" i="2"/>
  <c r="I75" i="2"/>
  <c r="I76" i="2"/>
  <c r="I34" i="2"/>
  <c r="I77" i="2"/>
  <c r="I78" i="2"/>
  <c r="I79" i="2"/>
  <c r="I80" i="2"/>
  <c r="I81" i="2"/>
  <c r="I82" i="2"/>
  <c r="I83" i="2"/>
  <c r="I84" i="2"/>
  <c r="I85" i="2"/>
  <c r="I86" i="2"/>
  <c r="I87" i="2"/>
  <c r="I88" i="2"/>
  <c r="I35" i="2"/>
  <c r="I89" i="2"/>
  <c r="I90" i="2"/>
  <c r="I91" i="2"/>
  <c r="I36" i="2"/>
  <c r="I92" i="2"/>
  <c r="I93" i="2"/>
  <c r="I94" i="2"/>
  <c r="I37" i="2"/>
  <c r="I95" i="2"/>
  <c r="I96" i="2"/>
  <c r="I97" i="2"/>
  <c r="I98" i="2"/>
  <c r="I99" i="2"/>
  <c r="I100" i="2"/>
  <c r="I101" i="2"/>
  <c r="I102" i="2"/>
  <c r="I103" i="2"/>
  <c r="I104" i="2"/>
  <c r="I105" i="2"/>
  <c r="I106" i="2"/>
  <c r="I38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39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40" i="2"/>
  <c r="I185" i="2"/>
  <c r="I186" i="2"/>
  <c r="I187" i="2"/>
  <c r="I188" i="2"/>
  <c r="I189" i="2"/>
  <c r="I190" i="2"/>
  <c r="I191" i="2"/>
  <c r="I192" i="2"/>
  <c r="I193" i="2"/>
  <c r="I194" i="2"/>
  <c r="I195" i="2"/>
  <c r="I3" i="2"/>
  <c r="I7" i="2"/>
  <c r="I8" i="2"/>
  <c r="I4" i="2"/>
  <c r="I2" i="2"/>
  <c r="P173" i="2"/>
  <c r="P103" i="2"/>
  <c r="P112" i="2"/>
  <c r="P8" i="2"/>
  <c r="P189" i="2"/>
  <c r="P187" i="2"/>
  <c r="P12" i="2"/>
  <c r="P123" i="2"/>
  <c r="P128" i="2"/>
  <c r="P15" i="2"/>
  <c r="P88" i="2"/>
  <c r="P160" i="2"/>
  <c r="P130" i="2"/>
  <c r="P56" i="2"/>
  <c r="P144" i="2"/>
  <c r="P153" i="2"/>
  <c r="P186" i="2"/>
  <c r="P140" i="2"/>
  <c r="P111" i="2"/>
  <c r="P183" i="2"/>
  <c r="P104" i="2"/>
  <c r="P188" i="2"/>
  <c r="P87" i="2"/>
  <c r="P63" i="2"/>
  <c r="P84" i="2"/>
  <c r="P14" i="2"/>
  <c r="P164" i="2"/>
  <c r="P85" i="2"/>
  <c r="P61" i="2"/>
  <c r="P117" i="2"/>
  <c r="P163" i="2"/>
  <c r="P18" i="2"/>
  <c r="P176" i="2"/>
  <c r="P32" i="2"/>
  <c r="P178" i="2"/>
  <c r="P159" i="2"/>
  <c r="P45" i="2"/>
  <c r="P107" i="2"/>
  <c r="P116" i="2"/>
  <c r="P96" i="2"/>
  <c r="P49" i="2"/>
  <c r="P162" i="2"/>
  <c r="P50" i="2"/>
  <c r="P147" i="2"/>
  <c r="P81" i="2"/>
  <c r="P59" i="2"/>
  <c r="P38" i="2"/>
  <c r="P79" i="2"/>
  <c r="P192" i="2"/>
  <c r="P16" i="2"/>
  <c r="P13" i="2"/>
  <c r="P71" i="2"/>
  <c r="P33" i="2"/>
  <c r="P36" i="2"/>
  <c r="P194" i="2"/>
  <c r="P34" i="2"/>
  <c r="P142" i="2"/>
  <c r="P24" i="2"/>
  <c r="P133" i="2"/>
  <c r="P127" i="2"/>
  <c r="P126" i="2"/>
  <c r="P47" i="2"/>
  <c r="P165" i="2"/>
  <c r="P26" i="2"/>
  <c r="P53" i="2"/>
  <c r="P102" i="2"/>
  <c r="P75" i="2"/>
  <c r="P57" i="2"/>
  <c r="P72" i="2"/>
  <c r="P28" i="2"/>
  <c r="P114" i="2"/>
  <c r="P138" i="2"/>
  <c r="P124" i="2"/>
  <c r="P83" i="2"/>
  <c r="P151" i="2"/>
  <c r="P166" i="2"/>
  <c r="P89" i="2"/>
  <c r="P119" i="2"/>
  <c r="P82" i="2"/>
  <c r="P22" i="2"/>
  <c r="P65" i="2"/>
  <c r="P97" i="2"/>
  <c r="P152" i="2"/>
  <c r="P68" i="2"/>
  <c r="P7" i="2"/>
  <c r="P99" i="2"/>
  <c r="P27" i="2"/>
  <c r="P4" i="2"/>
  <c r="P155" i="2"/>
  <c r="P80" i="2"/>
  <c r="P137" i="2"/>
  <c r="P43" i="2"/>
  <c r="P98" i="2"/>
  <c r="P2" i="2"/>
  <c r="P177" i="2"/>
  <c r="P118" i="2"/>
  <c r="P41" i="2"/>
  <c r="P93" i="2"/>
  <c r="P55" i="2"/>
  <c r="P17" i="2"/>
  <c r="P11" i="2"/>
  <c r="P115" i="2"/>
  <c r="P154" i="2"/>
  <c r="P91" i="2"/>
  <c r="P105" i="2"/>
  <c r="P58" i="2"/>
  <c r="P135" i="2"/>
  <c r="P181" i="2"/>
  <c r="P157" i="2"/>
  <c r="P185" i="2"/>
  <c r="P109" i="2"/>
  <c r="P122" i="2"/>
  <c r="P10" i="2"/>
  <c r="P40" i="2"/>
  <c r="P131" i="2"/>
  <c r="P125" i="2"/>
  <c r="P179" i="2"/>
  <c r="P44" i="2"/>
  <c r="P108" i="2"/>
  <c r="P51" i="2"/>
  <c r="P158" i="2"/>
  <c r="P66" i="2"/>
  <c r="P182" i="2"/>
  <c r="P9" i="2"/>
  <c r="P141" i="2"/>
  <c r="P29" i="2"/>
  <c r="P37" i="2"/>
  <c r="P120" i="2"/>
  <c r="P139" i="2"/>
  <c r="P150" i="2"/>
  <c r="P90" i="2"/>
  <c r="P132" i="2"/>
  <c r="P74" i="2"/>
  <c r="P172" i="2"/>
  <c r="P170" i="2"/>
  <c r="P39" i="2"/>
  <c r="P76" i="2"/>
  <c r="P64" i="2"/>
  <c r="P94" i="2"/>
  <c r="P5" i="2"/>
  <c r="P86" i="2"/>
  <c r="P180" i="2"/>
  <c r="P95" i="2"/>
  <c r="P167" i="2"/>
  <c r="P54" i="2"/>
  <c r="P42" i="2"/>
  <c r="P20" i="2"/>
  <c r="P143" i="2"/>
  <c r="P60" i="2"/>
  <c r="P31" i="2"/>
  <c r="P168" i="2"/>
  <c r="P174" i="2"/>
  <c r="P77" i="2"/>
  <c r="P136" i="2"/>
  <c r="P6" i="2"/>
  <c r="P195" i="2"/>
  <c r="P146" i="2"/>
  <c r="P191" i="2"/>
  <c r="P129" i="2"/>
  <c r="P67" i="2"/>
  <c r="P92" i="2"/>
  <c r="P100" i="2"/>
  <c r="P48" i="2"/>
  <c r="P62" i="2"/>
  <c r="P69" i="2"/>
  <c r="P3" i="2"/>
  <c r="P193" i="2"/>
  <c r="P145" i="2"/>
  <c r="P169" i="2"/>
  <c r="P175" i="2"/>
  <c r="P46" i="2"/>
  <c r="P113" i="2"/>
  <c r="P21" i="2"/>
  <c r="P148" i="2"/>
  <c r="P23" i="2"/>
  <c r="P156" i="2"/>
  <c r="P161" i="2"/>
  <c r="P149" i="2"/>
  <c r="P70" i="2"/>
  <c r="P171" i="2"/>
  <c r="P110" i="2"/>
  <c r="P134" i="2"/>
  <c r="P101" i="2"/>
  <c r="P73" i="2"/>
  <c r="P35" i="2"/>
  <c r="P30" i="2"/>
  <c r="P190" i="2"/>
  <c r="P121" i="2"/>
  <c r="P106" i="2"/>
  <c r="P52" i="2"/>
  <c r="P19" i="2"/>
  <c r="P78" i="2"/>
  <c r="P25" i="2"/>
  <c r="P184" i="2"/>
  <c r="M206" i="1"/>
  <c r="L206" i="1"/>
  <c r="K206" i="1"/>
  <c r="J206" i="1"/>
  <c r="I206" i="1"/>
  <c r="M205" i="1"/>
  <c r="L205" i="1"/>
  <c r="K205" i="1"/>
  <c r="J205" i="1"/>
  <c r="I205" i="1"/>
  <c r="M204" i="1"/>
  <c r="L204" i="1"/>
  <c r="K204" i="1"/>
  <c r="J204" i="1"/>
  <c r="I204" i="1"/>
  <c r="M203" i="1"/>
  <c r="L203" i="1"/>
  <c r="K203" i="1"/>
  <c r="J203" i="1"/>
  <c r="I203" i="1"/>
  <c r="M202" i="1"/>
  <c r="L202" i="1"/>
  <c r="K202" i="1"/>
  <c r="J202" i="1"/>
  <c r="I202" i="1"/>
  <c r="M201" i="1"/>
  <c r="L201" i="1"/>
  <c r="K201" i="1"/>
  <c r="J201" i="1"/>
  <c r="I201" i="1"/>
  <c r="M200" i="1"/>
  <c r="L200" i="1"/>
  <c r="K200" i="1"/>
  <c r="J200" i="1"/>
  <c r="I200" i="1"/>
  <c r="M199" i="1"/>
  <c r="L199" i="1"/>
  <c r="K199" i="1"/>
  <c r="J199" i="1"/>
  <c r="I199" i="1"/>
  <c r="M198" i="1"/>
  <c r="L198" i="1"/>
  <c r="K198" i="1"/>
  <c r="J198" i="1"/>
  <c r="I198" i="1"/>
  <c r="M197" i="1"/>
  <c r="L197" i="1"/>
  <c r="K197" i="1"/>
  <c r="J197" i="1"/>
  <c r="I197" i="1"/>
  <c r="M196" i="1"/>
  <c r="L196" i="1"/>
  <c r="K196" i="1"/>
  <c r="J196" i="1"/>
  <c r="I196" i="1"/>
  <c r="M195" i="1"/>
  <c r="L195" i="1"/>
  <c r="K195" i="1"/>
  <c r="J195" i="1"/>
  <c r="I195" i="1"/>
  <c r="M194" i="1"/>
  <c r="L194" i="1"/>
  <c r="K194" i="1"/>
  <c r="J194" i="1"/>
  <c r="I194" i="1"/>
  <c r="M193" i="1"/>
  <c r="L193" i="1"/>
  <c r="K193" i="1"/>
  <c r="J193" i="1"/>
  <c r="I193" i="1"/>
  <c r="M192" i="1"/>
  <c r="L192" i="1"/>
  <c r="K192" i="1"/>
  <c r="J192" i="1"/>
  <c r="I192" i="1"/>
  <c r="M191" i="1"/>
  <c r="L191" i="1"/>
  <c r="K191" i="1"/>
  <c r="J191" i="1"/>
  <c r="I191" i="1"/>
  <c r="M190" i="1"/>
  <c r="L190" i="1"/>
  <c r="K190" i="1"/>
  <c r="J190" i="1"/>
  <c r="I190" i="1"/>
  <c r="M189" i="1"/>
  <c r="L189" i="1"/>
  <c r="K189" i="1"/>
  <c r="J189" i="1"/>
  <c r="I189" i="1"/>
  <c r="M188" i="1"/>
  <c r="L188" i="1"/>
  <c r="K188" i="1"/>
  <c r="J188" i="1"/>
  <c r="I188" i="1"/>
  <c r="M187" i="1"/>
  <c r="L187" i="1"/>
  <c r="K187" i="1"/>
  <c r="J187" i="1"/>
  <c r="I187" i="1"/>
  <c r="M186" i="1"/>
  <c r="L186" i="1"/>
  <c r="K186" i="1"/>
  <c r="J186" i="1"/>
  <c r="I186" i="1"/>
  <c r="M185" i="1"/>
  <c r="L185" i="1"/>
  <c r="K185" i="1"/>
  <c r="J185" i="1"/>
  <c r="I185" i="1"/>
  <c r="M184" i="1"/>
  <c r="L184" i="1"/>
  <c r="K184" i="1"/>
  <c r="J184" i="1"/>
  <c r="I184" i="1"/>
  <c r="M183" i="1"/>
  <c r="L183" i="1"/>
  <c r="K183" i="1"/>
  <c r="J183" i="1"/>
  <c r="I183" i="1"/>
  <c r="M182" i="1"/>
  <c r="L182" i="1"/>
  <c r="K182" i="1"/>
  <c r="J182" i="1"/>
  <c r="I182" i="1"/>
  <c r="M181" i="1"/>
  <c r="L181" i="1"/>
  <c r="K181" i="1"/>
  <c r="J181" i="1"/>
  <c r="I181" i="1"/>
  <c r="M180" i="1"/>
  <c r="L180" i="1"/>
  <c r="K180" i="1"/>
  <c r="J180" i="1"/>
  <c r="I180" i="1"/>
  <c r="M179" i="1"/>
  <c r="L179" i="1"/>
  <c r="K179" i="1"/>
  <c r="J179" i="1"/>
  <c r="I179" i="1"/>
  <c r="M178" i="1"/>
  <c r="L178" i="1"/>
  <c r="K178" i="1"/>
  <c r="J178" i="1"/>
  <c r="I178" i="1"/>
  <c r="M177" i="1"/>
  <c r="L177" i="1"/>
  <c r="K177" i="1"/>
  <c r="J177" i="1"/>
  <c r="I177" i="1"/>
  <c r="M176" i="1"/>
  <c r="L176" i="1"/>
  <c r="K176" i="1"/>
  <c r="J176" i="1"/>
  <c r="I176" i="1"/>
  <c r="M175" i="1"/>
  <c r="L175" i="1"/>
  <c r="K175" i="1"/>
  <c r="J175" i="1"/>
  <c r="I175" i="1"/>
  <c r="M174" i="1"/>
  <c r="L174" i="1"/>
  <c r="K174" i="1"/>
  <c r="J174" i="1"/>
  <c r="I174" i="1"/>
  <c r="M173" i="1"/>
  <c r="L173" i="1"/>
  <c r="K173" i="1"/>
  <c r="J173" i="1"/>
  <c r="I173" i="1"/>
  <c r="M172" i="1"/>
  <c r="L172" i="1"/>
  <c r="K172" i="1"/>
  <c r="J172" i="1"/>
  <c r="I172" i="1"/>
  <c r="M171" i="1"/>
  <c r="L171" i="1"/>
  <c r="K171" i="1"/>
  <c r="J171" i="1"/>
  <c r="I171" i="1"/>
  <c r="M170" i="1"/>
  <c r="L170" i="1"/>
  <c r="K170" i="1"/>
  <c r="J170" i="1"/>
  <c r="I170" i="1"/>
  <c r="M169" i="1"/>
  <c r="L169" i="1"/>
  <c r="K169" i="1"/>
  <c r="J169" i="1"/>
  <c r="I169" i="1"/>
  <c r="M168" i="1"/>
  <c r="L168" i="1"/>
  <c r="K168" i="1"/>
  <c r="J168" i="1"/>
  <c r="I168" i="1"/>
  <c r="M167" i="1"/>
  <c r="L167" i="1"/>
  <c r="K167" i="1"/>
  <c r="J167" i="1"/>
  <c r="I167" i="1"/>
  <c r="M166" i="1"/>
  <c r="L166" i="1"/>
  <c r="K166" i="1"/>
  <c r="J166" i="1"/>
  <c r="I166" i="1"/>
  <c r="M165" i="1"/>
  <c r="L165" i="1"/>
  <c r="K165" i="1"/>
  <c r="J165" i="1"/>
  <c r="I165" i="1"/>
  <c r="M164" i="1"/>
  <c r="L164" i="1"/>
  <c r="K164" i="1"/>
  <c r="J164" i="1"/>
  <c r="I164" i="1"/>
  <c r="M163" i="1"/>
  <c r="L163" i="1"/>
  <c r="K163" i="1"/>
  <c r="J163" i="1"/>
  <c r="I163" i="1"/>
  <c r="M162" i="1"/>
  <c r="L162" i="1"/>
  <c r="K162" i="1"/>
  <c r="J162" i="1"/>
  <c r="I162" i="1"/>
  <c r="M161" i="1"/>
  <c r="L161" i="1"/>
  <c r="K161" i="1"/>
  <c r="J161" i="1"/>
  <c r="I161" i="1"/>
  <c r="M160" i="1"/>
  <c r="L160" i="1"/>
  <c r="K160" i="1"/>
  <c r="J160" i="1"/>
  <c r="I160" i="1"/>
  <c r="M159" i="1"/>
  <c r="L159" i="1"/>
  <c r="K159" i="1"/>
  <c r="J159" i="1"/>
  <c r="I159" i="1"/>
  <c r="M158" i="1"/>
  <c r="L158" i="1"/>
  <c r="K158" i="1"/>
  <c r="J158" i="1"/>
  <c r="I158" i="1"/>
  <c r="M157" i="1"/>
  <c r="L157" i="1"/>
  <c r="K157" i="1"/>
  <c r="J157" i="1"/>
  <c r="I157" i="1"/>
  <c r="M156" i="1"/>
  <c r="L156" i="1"/>
  <c r="K156" i="1"/>
  <c r="J156" i="1"/>
  <c r="I156" i="1"/>
  <c r="M155" i="1"/>
  <c r="L155" i="1"/>
  <c r="K155" i="1"/>
  <c r="J155" i="1"/>
  <c r="I155" i="1"/>
  <c r="M154" i="1"/>
  <c r="L154" i="1"/>
  <c r="K154" i="1"/>
  <c r="J154" i="1"/>
  <c r="I154" i="1"/>
  <c r="M153" i="1"/>
  <c r="L153" i="1"/>
  <c r="K153" i="1"/>
  <c r="J153" i="1"/>
  <c r="I153" i="1"/>
  <c r="M152" i="1"/>
  <c r="L152" i="1"/>
  <c r="K152" i="1"/>
  <c r="J152" i="1"/>
  <c r="I152" i="1"/>
  <c r="M151" i="1"/>
  <c r="L151" i="1"/>
  <c r="K151" i="1"/>
  <c r="J151" i="1"/>
  <c r="I151" i="1"/>
  <c r="M150" i="1"/>
  <c r="L150" i="1"/>
  <c r="K150" i="1"/>
  <c r="J150" i="1"/>
  <c r="I150" i="1"/>
  <c r="M149" i="1"/>
  <c r="L149" i="1"/>
  <c r="K149" i="1"/>
  <c r="J149" i="1"/>
  <c r="I149" i="1"/>
  <c r="M148" i="1"/>
  <c r="L148" i="1"/>
  <c r="K148" i="1"/>
  <c r="J148" i="1"/>
  <c r="I148" i="1"/>
  <c r="M147" i="1"/>
  <c r="L147" i="1"/>
  <c r="K147" i="1"/>
  <c r="J147" i="1"/>
  <c r="I147" i="1"/>
  <c r="M146" i="1"/>
  <c r="L146" i="1"/>
  <c r="K146" i="1"/>
  <c r="J146" i="1"/>
  <c r="I146" i="1"/>
  <c r="M145" i="1"/>
  <c r="L145" i="1"/>
  <c r="K145" i="1"/>
  <c r="J145" i="1"/>
  <c r="I145" i="1"/>
  <c r="M144" i="1"/>
  <c r="L144" i="1"/>
  <c r="K144" i="1"/>
  <c r="J144" i="1"/>
  <c r="I144" i="1"/>
  <c r="M143" i="1"/>
  <c r="L143" i="1"/>
  <c r="K143" i="1"/>
  <c r="J143" i="1"/>
  <c r="I143" i="1"/>
  <c r="M142" i="1"/>
  <c r="L142" i="1"/>
  <c r="K142" i="1"/>
  <c r="J142" i="1"/>
  <c r="I142" i="1"/>
  <c r="M141" i="1"/>
  <c r="L141" i="1"/>
  <c r="K141" i="1"/>
  <c r="J141" i="1"/>
  <c r="I141" i="1"/>
  <c r="M140" i="1"/>
  <c r="L140" i="1"/>
  <c r="K140" i="1"/>
  <c r="J140" i="1"/>
  <c r="I140" i="1"/>
  <c r="M139" i="1"/>
  <c r="L139" i="1"/>
  <c r="K139" i="1"/>
  <c r="J139" i="1"/>
  <c r="I139" i="1"/>
  <c r="M138" i="1"/>
  <c r="L138" i="1"/>
  <c r="K138" i="1"/>
  <c r="J138" i="1"/>
  <c r="I138" i="1"/>
  <c r="M137" i="1"/>
  <c r="L137" i="1"/>
  <c r="K137" i="1"/>
  <c r="J137" i="1"/>
  <c r="I137" i="1"/>
  <c r="M136" i="1"/>
  <c r="L136" i="1"/>
  <c r="K136" i="1"/>
  <c r="J136" i="1"/>
  <c r="I136" i="1"/>
  <c r="M135" i="1"/>
  <c r="L135" i="1"/>
  <c r="K135" i="1"/>
  <c r="J135" i="1"/>
  <c r="I135" i="1"/>
  <c r="M134" i="1"/>
  <c r="L134" i="1"/>
  <c r="K134" i="1"/>
  <c r="J134" i="1"/>
  <c r="I134" i="1"/>
  <c r="M133" i="1"/>
  <c r="L133" i="1"/>
  <c r="K133" i="1"/>
  <c r="J133" i="1"/>
  <c r="I133" i="1"/>
  <c r="M132" i="1"/>
  <c r="L132" i="1"/>
  <c r="K132" i="1"/>
  <c r="J132" i="1"/>
  <c r="I132" i="1"/>
  <c r="M131" i="1"/>
  <c r="L131" i="1"/>
  <c r="K131" i="1"/>
  <c r="J131" i="1"/>
  <c r="I131" i="1"/>
  <c r="M130" i="1"/>
  <c r="L130" i="1"/>
  <c r="K130" i="1"/>
  <c r="J130" i="1"/>
  <c r="I130" i="1"/>
  <c r="M129" i="1"/>
  <c r="L129" i="1"/>
  <c r="K129" i="1"/>
  <c r="J129" i="1"/>
  <c r="I129" i="1"/>
  <c r="M128" i="1"/>
  <c r="L128" i="1"/>
  <c r="K128" i="1"/>
  <c r="J128" i="1"/>
  <c r="I128" i="1"/>
  <c r="M127" i="1"/>
  <c r="L127" i="1"/>
  <c r="K127" i="1"/>
  <c r="J127" i="1"/>
  <c r="I127" i="1"/>
  <c r="M126" i="1"/>
  <c r="L126" i="1"/>
  <c r="K126" i="1"/>
  <c r="J126" i="1"/>
  <c r="I126" i="1"/>
  <c r="M125" i="1"/>
  <c r="L125" i="1"/>
  <c r="K125" i="1"/>
  <c r="J125" i="1"/>
  <c r="I125" i="1"/>
  <c r="M124" i="1"/>
  <c r="L124" i="1"/>
  <c r="K124" i="1"/>
  <c r="J124" i="1"/>
  <c r="I124" i="1"/>
  <c r="M123" i="1"/>
  <c r="L123" i="1"/>
  <c r="K123" i="1"/>
  <c r="J123" i="1"/>
  <c r="I123" i="1"/>
  <c r="M122" i="1"/>
  <c r="L122" i="1"/>
  <c r="K122" i="1"/>
  <c r="J122" i="1"/>
  <c r="I122" i="1"/>
  <c r="M121" i="1"/>
  <c r="L121" i="1"/>
  <c r="K121" i="1"/>
  <c r="J121" i="1"/>
  <c r="I121" i="1"/>
  <c r="M120" i="1"/>
  <c r="L120" i="1"/>
  <c r="K120" i="1"/>
  <c r="J120" i="1"/>
  <c r="I120" i="1"/>
  <c r="M119" i="1"/>
  <c r="L119" i="1"/>
  <c r="K119" i="1"/>
  <c r="J119" i="1"/>
  <c r="I119" i="1"/>
  <c r="M118" i="1"/>
  <c r="L118" i="1"/>
  <c r="K118" i="1"/>
  <c r="J118" i="1"/>
  <c r="I118" i="1"/>
  <c r="M117" i="1"/>
  <c r="L117" i="1"/>
  <c r="K117" i="1"/>
  <c r="J117" i="1"/>
  <c r="I117" i="1"/>
  <c r="M116" i="1"/>
  <c r="L116" i="1"/>
  <c r="K116" i="1"/>
  <c r="J116" i="1"/>
  <c r="I116" i="1"/>
  <c r="M115" i="1"/>
  <c r="L115" i="1"/>
  <c r="K115" i="1"/>
  <c r="J115" i="1"/>
  <c r="I115" i="1"/>
  <c r="M114" i="1"/>
  <c r="L114" i="1"/>
  <c r="K114" i="1"/>
  <c r="J114" i="1"/>
  <c r="I114" i="1"/>
  <c r="M113" i="1"/>
  <c r="L113" i="1"/>
  <c r="K113" i="1"/>
  <c r="J113" i="1"/>
  <c r="I113" i="1"/>
  <c r="M112" i="1"/>
  <c r="L112" i="1"/>
  <c r="K112" i="1"/>
  <c r="J112" i="1"/>
  <c r="I112" i="1"/>
  <c r="M111" i="1"/>
  <c r="L111" i="1"/>
  <c r="K111" i="1"/>
  <c r="J111" i="1"/>
  <c r="I111" i="1"/>
  <c r="M110" i="1"/>
  <c r="L110" i="1"/>
  <c r="K110" i="1"/>
  <c r="J110" i="1"/>
  <c r="I110" i="1"/>
  <c r="M109" i="1"/>
  <c r="L109" i="1"/>
  <c r="K109" i="1"/>
  <c r="J109" i="1"/>
  <c r="I109" i="1"/>
  <c r="M108" i="1"/>
  <c r="L108" i="1"/>
  <c r="K108" i="1"/>
  <c r="J108" i="1"/>
  <c r="I108" i="1"/>
  <c r="M107" i="1"/>
  <c r="L107" i="1"/>
  <c r="K107" i="1"/>
  <c r="J107" i="1"/>
  <c r="I107" i="1"/>
  <c r="M106" i="1"/>
  <c r="L106" i="1"/>
  <c r="K106" i="1"/>
  <c r="J106" i="1"/>
  <c r="I106" i="1"/>
  <c r="M105" i="1"/>
  <c r="L105" i="1"/>
  <c r="K105" i="1"/>
  <c r="J105" i="1"/>
  <c r="I105" i="1"/>
  <c r="M104" i="1"/>
  <c r="L104" i="1"/>
  <c r="K104" i="1"/>
  <c r="J104" i="1"/>
  <c r="I104" i="1"/>
  <c r="M103" i="1"/>
  <c r="L103" i="1"/>
  <c r="K103" i="1"/>
  <c r="J103" i="1"/>
  <c r="I103" i="1"/>
  <c r="M102" i="1"/>
  <c r="L102" i="1"/>
  <c r="K102" i="1"/>
  <c r="J102" i="1"/>
  <c r="I102" i="1"/>
  <c r="M101" i="1"/>
  <c r="L101" i="1"/>
  <c r="K101" i="1"/>
  <c r="J101" i="1"/>
  <c r="I101" i="1"/>
  <c r="M100" i="1"/>
  <c r="L100" i="1"/>
  <c r="K100" i="1"/>
  <c r="J100" i="1"/>
  <c r="I100" i="1"/>
  <c r="M99" i="1"/>
  <c r="L99" i="1"/>
  <c r="K99" i="1"/>
  <c r="J99" i="1"/>
  <c r="I99" i="1"/>
  <c r="M98" i="1"/>
  <c r="L98" i="1"/>
  <c r="K98" i="1"/>
  <c r="J98" i="1"/>
  <c r="I98" i="1"/>
  <c r="M97" i="1"/>
  <c r="L97" i="1"/>
  <c r="K97" i="1"/>
  <c r="J97" i="1"/>
  <c r="I97" i="1"/>
  <c r="M96" i="1"/>
  <c r="L96" i="1"/>
  <c r="K96" i="1"/>
  <c r="J96" i="1"/>
  <c r="I96" i="1"/>
  <c r="M95" i="1"/>
  <c r="L95" i="1"/>
  <c r="K95" i="1"/>
  <c r="J95" i="1"/>
  <c r="I95" i="1"/>
  <c r="M94" i="1"/>
  <c r="L94" i="1"/>
  <c r="K94" i="1"/>
  <c r="J94" i="1"/>
  <c r="I94" i="1"/>
  <c r="M93" i="1"/>
  <c r="L93" i="1"/>
  <c r="K93" i="1"/>
  <c r="J93" i="1"/>
  <c r="I93" i="1"/>
  <c r="M92" i="1"/>
  <c r="L92" i="1"/>
  <c r="K92" i="1"/>
  <c r="J92" i="1"/>
  <c r="I92" i="1"/>
  <c r="M91" i="1"/>
  <c r="L91" i="1"/>
  <c r="K91" i="1"/>
  <c r="J91" i="1"/>
  <c r="I91" i="1"/>
  <c r="M90" i="1"/>
  <c r="L90" i="1"/>
  <c r="K90" i="1"/>
  <c r="J90" i="1"/>
  <c r="I90" i="1"/>
  <c r="M89" i="1"/>
  <c r="L89" i="1"/>
  <c r="K89" i="1"/>
  <c r="J89" i="1"/>
  <c r="I89" i="1"/>
  <c r="M88" i="1"/>
  <c r="L88" i="1"/>
  <c r="K88" i="1"/>
  <c r="J88" i="1"/>
  <c r="I88" i="1"/>
  <c r="M87" i="1"/>
  <c r="L87" i="1"/>
  <c r="K87" i="1"/>
  <c r="J87" i="1"/>
  <c r="I87" i="1"/>
  <c r="M86" i="1"/>
  <c r="L86" i="1"/>
  <c r="K86" i="1"/>
  <c r="J86" i="1"/>
  <c r="I86" i="1"/>
  <c r="M85" i="1"/>
  <c r="L85" i="1"/>
  <c r="K85" i="1"/>
  <c r="J85" i="1"/>
  <c r="I85" i="1"/>
  <c r="M84" i="1"/>
  <c r="L84" i="1"/>
  <c r="K84" i="1"/>
  <c r="J84" i="1"/>
  <c r="I84" i="1"/>
  <c r="M83" i="1"/>
  <c r="L83" i="1"/>
  <c r="K83" i="1"/>
  <c r="J83" i="1"/>
  <c r="I83" i="1"/>
  <c r="M82" i="1"/>
  <c r="L82" i="1"/>
  <c r="K82" i="1"/>
  <c r="J82" i="1"/>
  <c r="I82" i="1"/>
  <c r="M81" i="1"/>
  <c r="L81" i="1"/>
  <c r="K81" i="1"/>
  <c r="J81" i="1"/>
  <c r="I81" i="1"/>
  <c r="M80" i="1"/>
  <c r="L80" i="1"/>
  <c r="K80" i="1"/>
  <c r="J80" i="1"/>
  <c r="I80" i="1"/>
  <c r="M79" i="1"/>
  <c r="L79" i="1"/>
  <c r="K79" i="1"/>
  <c r="J79" i="1"/>
  <c r="I79" i="1"/>
  <c r="M78" i="1"/>
  <c r="L78" i="1"/>
  <c r="K78" i="1"/>
  <c r="J78" i="1"/>
  <c r="I78" i="1"/>
  <c r="M77" i="1"/>
  <c r="L77" i="1"/>
  <c r="K77" i="1"/>
  <c r="J77" i="1"/>
  <c r="I77" i="1"/>
  <c r="M76" i="1"/>
  <c r="L76" i="1"/>
  <c r="K76" i="1"/>
  <c r="J76" i="1"/>
  <c r="I76" i="1"/>
  <c r="M75" i="1"/>
  <c r="L75" i="1"/>
  <c r="K75" i="1"/>
  <c r="J75" i="1"/>
  <c r="I75" i="1"/>
  <c r="M74" i="1"/>
  <c r="L74" i="1"/>
  <c r="K74" i="1"/>
  <c r="J74" i="1"/>
  <c r="I74" i="1"/>
  <c r="M73" i="1"/>
  <c r="L73" i="1"/>
  <c r="K73" i="1"/>
  <c r="J73" i="1"/>
  <c r="I73" i="1"/>
  <c r="M72" i="1"/>
  <c r="L72" i="1"/>
  <c r="K72" i="1"/>
  <c r="J72" i="1"/>
  <c r="I72" i="1"/>
  <c r="M71" i="1"/>
  <c r="L71" i="1"/>
  <c r="K71" i="1"/>
  <c r="J71" i="1"/>
  <c r="I71" i="1"/>
  <c r="M70" i="1"/>
  <c r="L70" i="1"/>
  <c r="K70" i="1"/>
  <c r="J70" i="1"/>
  <c r="I70" i="1"/>
  <c r="M69" i="1"/>
  <c r="L69" i="1"/>
  <c r="K69" i="1"/>
  <c r="J69" i="1"/>
  <c r="I69" i="1"/>
  <c r="M68" i="1"/>
  <c r="L68" i="1"/>
  <c r="K68" i="1"/>
  <c r="J68" i="1"/>
  <c r="I68" i="1"/>
  <c r="M67" i="1"/>
  <c r="L67" i="1"/>
  <c r="K67" i="1"/>
  <c r="J67" i="1"/>
  <c r="I67" i="1"/>
  <c r="M66" i="1"/>
  <c r="L66" i="1"/>
  <c r="K66" i="1"/>
  <c r="J66" i="1"/>
  <c r="I66" i="1"/>
  <c r="M65" i="1"/>
  <c r="L65" i="1"/>
  <c r="K65" i="1"/>
  <c r="J65" i="1"/>
  <c r="I65" i="1"/>
  <c r="M64" i="1"/>
  <c r="L64" i="1"/>
  <c r="K64" i="1"/>
  <c r="J64" i="1"/>
  <c r="I64" i="1"/>
  <c r="M63" i="1"/>
  <c r="L63" i="1"/>
  <c r="K63" i="1"/>
  <c r="J63" i="1"/>
  <c r="I63" i="1"/>
  <c r="M62" i="1"/>
  <c r="L62" i="1"/>
  <c r="K62" i="1"/>
  <c r="J62" i="1"/>
  <c r="I62" i="1"/>
  <c r="M61" i="1"/>
  <c r="L61" i="1"/>
  <c r="K61" i="1"/>
  <c r="J61" i="1"/>
  <c r="I61" i="1"/>
  <c r="M60" i="1"/>
  <c r="L60" i="1"/>
  <c r="K60" i="1"/>
  <c r="J60" i="1"/>
  <c r="I60" i="1"/>
  <c r="M59" i="1"/>
  <c r="L59" i="1"/>
  <c r="K59" i="1"/>
  <c r="J59" i="1"/>
  <c r="I59" i="1"/>
  <c r="M58" i="1"/>
  <c r="L58" i="1"/>
  <c r="K58" i="1"/>
  <c r="J58" i="1"/>
  <c r="I58" i="1"/>
  <c r="M57" i="1"/>
  <c r="L57" i="1"/>
  <c r="K57" i="1"/>
  <c r="J57" i="1"/>
  <c r="I57" i="1"/>
  <c r="M56" i="1"/>
  <c r="L56" i="1"/>
  <c r="K56" i="1"/>
  <c r="J56" i="1"/>
  <c r="I56" i="1"/>
  <c r="M55" i="1"/>
  <c r="L55" i="1"/>
  <c r="K55" i="1"/>
  <c r="J55" i="1"/>
  <c r="I55" i="1"/>
  <c r="M54" i="1"/>
  <c r="L54" i="1"/>
  <c r="K54" i="1"/>
  <c r="J54" i="1"/>
  <c r="I54" i="1"/>
  <c r="M53" i="1"/>
  <c r="L53" i="1"/>
  <c r="K53" i="1"/>
  <c r="J53" i="1"/>
  <c r="I53" i="1"/>
  <c r="M52" i="1"/>
  <c r="L52" i="1"/>
  <c r="K52" i="1"/>
  <c r="J52" i="1"/>
  <c r="I52" i="1"/>
  <c r="M51" i="1"/>
  <c r="L51" i="1"/>
  <c r="K51" i="1"/>
  <c r="J51" i="1"/>
  <c r="I51" i="1"/>
  <c r="M50" i="1"/>
  <c r="L50" i="1"/>
  <c r="K50" i="1"/>
  <c r="J50" i="1"/>
  <c r="I50" i="1"/>
  <c r="M49" i="1"/>
  <c r="L49" i="1"/>
  <c r="K49" i="1"/>
  <c r="J49" i="1"/>
  <c r="I49" i="1"/>
  <c r="M48" i="1"/>
  <c r="L48" i="1"/>
  <c r="K48" i="1"/>
  <c r="J48" i="1"/>
  <c r="I48" i="1"/>
  <c r="M47" i="1"/>
  <c r="L47" i="1"/>
  <c r="K47" i="1"/>
  <c r="J47" i="1"/>
  <c r="I47" i="1"/>
  <c r="M46" i="1"/>
  <c r="L46" i="1"/>
  <c r="K46" i="1"/>
  <c r="J46" i="1"/>
  <c r="I46" i="1"/>
  <c r="M45" i="1"/>
  <c r="L45" i="1"/>
  <c r="K45" i="1"/>
  <c r="J45" i="1"/>
  <c r="I45" i="1"/>
  <c r="M44" i="1"/>
  <c r="L44" i="1"/>
  <c r="K44" i="1"/>
  <c r="J44" i="1"/>
  <c r="I44" i="1"/>
  <c r="M43" i="1"/>
  <c r="L43" i="1"/>
  <c r="K43" i="1"/>
  <c r="J43" i="1"/>
  <c r="I43" i="1"/>
  <c r="M42" i="1"/>
  <c r="L42" i="1"/>
  <c r="K42" i="1"/>
  <c r="J42" i="1"/>
  <c r="I42" i="1"/>
  <c r="M41" i="1"/>
  <c r="L41" i="1"/>
  <c r="K41" i="1"/>
  <c r="J41" i="1"/>
  <c r="I41" i="1"/>
  <c r="M40" i="1"/>
  <c r="L40" i="1"/>
  <c r="K40" i="1"/>
  <c r="J40" i="1"/>
  <c r="I40" i="1"/>
  <c r="M39" i="1"/>
  <c r="L39" i="1"/>
  <c r="K39" i="1"/>
  <c r="J39" i="1"/>
  <c r="I39" i="1"/>
  <c r="M38" i="1"/>
  <c r="L38" i="1"/>
  <c r="K38" i="1"/>
  <c r="J38" i="1"/>
  <c r="I38" i="1"/>
  <c r="M37" i="1"/>
  <c r="L37" i="1"/>
  <c r="K37" i="1"/>
  <c r="J37" i="1"/>
  <c r="I37" i="1"/>
  <c r="M36" i="1"/>
  <c r="L36" i="1"/>
  <c r="K36" i="1"/>
  <c r="J36" i="1"/>
  <c r="I36" i="1"/>
  <c r="M35" i="1"/>
  <c r="L35" i="1"/>
  <c r="K35" i="1"/>
  <c r="J35" i="1"/>
  <c r="I35" i="1"/>
  <c r="M34" i="1"/>
  <c r="L34" i="1"/>
  <c r="K34" i="1"/>
  <c r="J34" i="1"/>
  <c r="I34" i="1"/>
  <c r="M33" i="1"/>
  <c r="L33" i="1"/>
  <c r="K33" i="1"/>
  <c r="J33" i="1"/>
  <c r="I33" i="1"/>
  <c r="M32" i="1"/>
  <c r="L32" i="1"/>
  <c r="K32" i="1"/>
  <c r="J32" i="1"/>
  <c r="I32" i="1"/>
  <c r="M31" i="1"/>
  <c r="L31" i="1"/>
  <c r="K31" i="1"/>
  <c r="J31" i="1"/>
  <c r="I31" i="1"/>
  <c r="M30" i="1"/>
  <c r="L30" i="1"/>
  <c r="K30" i="1"/>
  <c r="J30" i="1"/>
  <c r="I30" i="1"/>
  <c r="M29" i="1"/>
  <c r="L29" i="1"/>
  <c r="K29" i="1"/>
  <c r="J29" i="1"/>
  <c r="I29" i="1"/>
  <c r="M28" i="1"/>
  <c r="L28" i="1"/>
  <c r="K28" i="1"/>
  <c r="J28" i="1"/>
  <c r="I28" i="1"/>
  <c r="M27" i="1"/>
  <c r="L27" i="1"/>
  <c r="K27" i="1"/>
  <c r="J27" i="1"/>
  <c r="I27" i="1"/>
  <c r="M26" i="1"/>
  <c r="L26" i="1"/>
  <c r="K26" i="1"/>
  <c r="J26" i="1"/>
  <c r="I26" i="1"/>
  <c r="M25" i="1"/>
  <c r="L25" i="1"/>
  <c r="K25" i="1"/>
  <c r="J25" i="1"/>
  <c r="I25" i="1"/>
  <c r="M24" i="1"/>
  <c r="L24" i="1"/>
  <c r="K24" i="1"/>
  <c r="J24" i="1"/>
  <c r="I24" i="1"/>
  <c r="M23" i="1"/>
  <c r="L23" i="1"/>
  <c r="K23" i="1"/>
  <c r="J23" i="1"/>
  <c r="I23" i="1"/>
  <c r="M22" i="1"/>
  <c r="L22" i="1"/>
  <c r="K22" i="1"/>
  <c r="J22" i="1"/>
  <c r="I22" i="1"/>
  <c r="M21" i="1"/>
  <c r="L21" i="1"/>
  <c r="K21" i="1"/>
  <c r="J21" i="1"/>
  <c r="I21" i="1"/>
  <c r="M20" i="1"/>
  <c r="L20" i="1"/>
  <c r="K20" i="1"/>
  <c r="J20" i="1"/>
  <c r="I20" i="1"/>
  <c r="M19" i="1"/>
  <c r="L19" i="1"/>
  <c r="K19" i="1"/>
  <c r="J19" i="1"/>
  <c r="I19" i="1"/>
  <c r="M18" i="1"/>
  <c r="L18" i="1"/>
  <c r="K18" i="1"/>
  <c r="J18" i="1"/>
  <c r="I18" i="1"/>
  <c r="M17" i="1"/>
  <c r="L17" i="1"/>
  <c r="K17" i="1"/>
  <c r="J17" i="1"/>
  <c r="I17" i="1"/>
  <c r="M16" i="1"/>
  <c r="L16" i="1"/>
  <c r="K16" i="1"/>
  <c r="J16" i="1"/>
  <c r="I16" i="1"/>
  <c r="M15" i="1"/>
  <c r="L15" i="1"/>
  <c r="K15" i="1"/>
  <c r="J15" i="1"/>
  <c r="I15" i="1"/>
  <c r="M14" i="1"/>
  <c r="L14" i="1"/>
  <c r="K14" i="1"/>
  <c r="J14" i="1"/>
  <c r="I14" i="1"/>
  <c r="M13" i="1"/>
  <c r="L13" i="1"/>
  <c r="K13" i="1"/>
  <c r="J13" i="1"/>
  <c r="I13" i="1"/>
  <c r="M12" i="1"/>
  <c r="L12" i="1"/>
  <c r="K12" i="1"/>
  <c r="J12" i="1"/>
  <c r="I12" i="1"/>
  <c r="M11" i="1"/>
  <c r="L11" i="1"/>
  <c r="K11" i="1"/>
  <c r="J11" i="1"/>
  <c r="I11" i="1"/>
  <c r="M10" i="1"/>
  <c r="L10" i="1"/>
  <c r="K10" i="1"/>
  <c r="J10" i="1"/>
  <c r="I10" i="1"/>
  <c r="M9" i="1"/>
  <c r="L9" i="1"/>
  <c r="K9" i="1"/>
  <c r="J9" i="1"/>
  <c r="I9" i="1"/>
  <c r="M8" i="1"/>
  <c r="L8" i="1"/>
  <c r="K8" i="1"/>
  <c r="J8" i="1"/>
  <c r="I8" i="1"/>
  <c r="M7" i="1"/>
  <c r="L7" i="1"/>
  <c r="K7" i="1"/>
  <c r="J7" i="1"/>
  <c r="I7" i="1"/>
  <c r="M6" i="1"/>
  <c r="L6" i="1"/>
  <c r="K6" i="1"/>
  <c r="J6" i="1"/>
  <c r="I6" i="1"/>
  <c r="M5" i="1"/>
  <c r="L5" i="1"/>
  <c r="K5" i="1"/>
  <c r="J5" i="1"/>
  <c r="I5" i="1"/>
  <c r="M4" i="1"/>
  <c r="L4" i="1"/>
  <c r="K4" i="1"/>
  <c r="J4" i="1"/>
  <c r="I4" i="1"/>
  <c r="M3" i="1"/>
  <c r="L3" i="1"/>
  <c r="K3" i="1"/>
  <c r="J3" i="1"/>
  <c r="I3" i="1"/>
  <c r="M2" i="1"/>
  <c r="L2" i="1"/>
  <c r="K2" i="1"/>
  <c r="J2" i="1"/>
  <c r="I2" i="1"/>
  <c r="L195" i="2"/>
  <c r="K195" i="2"/>
  <c r="J195" i="2"/>
  <c r="L194" i="2"/>
  <c r="K194" i="2"/>
  <c r="J194" i="2"/>
  <c r="L193" i="2"/>
  <c r="K193" i="2"/>
  <c r="J193" i="2"/>
  <c r="L192" i="2"/>
  <c r="K192" i="2"/>
  <c r="J192" i="2"/>
  <c r="L191" i="2"/>
  <c r="K191" i="2"/>
  <c r="J191" i="2"/>
  <c r="L190" i="2"/>
  <c r="K190" i="2"/>
  <c r="J190" i="2"/>
  <c r="L189" i="2"/>
  <c r="K189" i="2"/>
  <c r="J189" i="2"/>
  <c r="M189" i="2" s="1"/>
  <c r="L188" i="2"/>
  <c r="K188" i="2"/>
  <c r="J188" i="2"/>
  <c r="L187" i="2"/>
  <c r="K187" i="2"/>
  <c r="J187" i="2"/>
  <c r="L186" i="2"/>
  <c r="K186" i="2"/>
  <c r="J186" i="2"/>
  <c r="L185" i="2"/>
  <c r="K185" i="2"/>
  <c r="J185" i="2"/>
  <c r="L40" i="2"/>
  <c r="K40" i="2"/>
  <c r="J40" i="2"/>
  <c r="L184" i="2"/>
  <c r="K184" i="2"/>
  <c r="J184" i="2"/>
  <c r="L183" i="2"/>
  <c r="K183" i="2"/>
  <c r="J183" i="2"/>
  <c r="L182" i="2"/>
  <c r="K182" i="2"/>
  <c r="J182" i="2"/>
  <c r="L181" i="2"/>
  <c r="K181" i="2"/>
  <c r="J181" i="2"/>
  <c r="L180" i="2"/>
  <c r="K180" i="2"/>
  <c r="J180" i="2"/>
  <c r="L179" i="2"/>
  <c r="K179" i="2"/>
  <c r="J179" i="2"/>
  <c r="L178" i="2"/>
  <c r="K178" i="2"/>
  <c r="J178" i="2"/>
  <c r="L177" i="2"/>
  <c r="K177" i="2"/>
  <c r="J177" i="2"/>
  <c r="L176" i="2"/>
  <c r="K176" i="2"/>
  <c r="J176" i="2"/>
  <c r="L175" i="2"/>
  <c r="K175" i="2"/>
  <c r="J175" i="2"/>
  <c r="L174" i="2"/>
  <c r="K174" i="2"/>
  <c r="J174" i="2"/>
  <c r="L173" i="2"/>
  <c r="K173" i="2"/>
  <c r="J173" i="2"/>
  <c r="L172" i="2"/>
  <c r="K172" i="2"/>
  <c r="J172" i="2"/>
  <c r="L171" i="2"/>
  <c r="K171" i="2"/>
  <c r="J171" i="2"/>
  <c r="L170" i="2"/>
  <c r="K170" i="2"/>
  <c r="J170" i="2"/>
  <c r="L169" i="2"/>
  <c r="K169" i="2"/>
  <c r="J169" i="2"/>
  <c r="L168" i="2"/>
  <c r="K168" i="2"/>
  <c r="J168" i="2"/>
  <c r="L167" i="2"/>
  <c r="K167" i="2"/>
  <c r="J167" i="2"/>
  <c r="L166" i="2"/>
  <c r="K166" i="2"/>
  <c r="J166" i="2"/>
  <c r="L39" i="2"/>
  <c r="K39" i="2"/>
  <c r="J39" i="2"/>
  <c r="L165" i="2"/>
  <c r="K165" i="2"/>
  <c r="J165" i="2"/>
  <c r="L164" i="2"/>
  <c r="K164" i="2"/>
  <c r="J164" i="2"/>
  <c r="L163" i="2"/>
  <c r="K163" i="2"/>
  <c r="J163" i="2"/>
  <c r="L162" i="2"/>
  <c r="K162" i="2"/>
  <c r="J162" i="2"/>
  <c r="L161" i="2"/>
  <c r="K161" i="2"/>
  <c r="J161" i="2"/>
  <c r="L160" i="2"/>
  <c r="K160" i="2"/>
  <c r="J160" i="2"/>
  <c r="L159" i="2"/>
  <c r="K159" i="2"/>
  <c r="J159" i="2"/>
  <c r="L158" i="2"/>
  <c r="K158" i="2"/>
  <c r="J158" i="2"/>
  <c r="L157" i="2"/>
  <c r="K157" i="2"/>
  <c r="J157" i="2"/>
  <c r="L156" i="2"/>
  <c r="K156" i="2"/>
  <c r="J156" i="2"/>
  <c r="L155" i="2"/>
  <c r="K155" i="2"/>
  <c r="J155" i="2"/>
  <c r="L154" i="2"/>
  <c r="K154" i="2"/>
  <c r="J154" i="2"/>
  <c r="L153" i="2"/>
  <c r="K153" i="2"/>
  <c r="J153" i="2"/>
  <c r="L152" i="2"/>
  <c r="K152" i="2"/>
  <c r="J152" i="2"/>
  <c r="L151" i="2"/>
  <c r="K151" i="2"/>
  <c r="J151" i="2"/>
  <c r="L150" i="2"/>
  <c r="K150" i="2"/>
  <c r="J150" i="2"/>
  <c r="L149" i="2"/>
  <c r="K149" i="2"/>
  <c r="J149" i="2"/>
  <c r="L148" i="2"/>
  <c r="K148" i="2"/>
  <c r="J148" i="2"/>
  <c r="L147" i="2"/>
  <c r="K147" i="2"/>
  <c r="J147" i="2"/>
  <c r="L146" i="2"/>
  <c r="K146" i="2"/>
  <c r="J146" i="2"/>
  <c r="L145" i="2"/>
  <c r="K145" i="2"/>
  <c r="J145" i="2"/>
  <c r="L144" i="2"/>
  <c r="K144" i="2"/>
  <c r="J144" i="2"/>
  <c r="L143" i="2"/>
  <c r="K143" i="2"/>
  <c r="J143" i="2"/>
  <c r="M143" i="2" s="1"/>
  <c r="L142" i="2"/>
  <c r="K142" i="2"/>
  <c r="J142" i="2"/>
  <c r="L141" i="2"/>
  <c r="K141" i="2"/>
  <c r="J141" i="2"/>
  <c r="L140" i="2"/>
  <c r="K140" i="2"/>
  <c r="J140" i="2"/>
  <c r="L139" i="2"/>
  <c r="K139" i="2"/>
  <c r="J139" i="2"/>
  <c r="L138" i="2"/>
  <c r="K138" i="2"/>
  <c r="J138" i="2"/>
  <c r="L137" i="2"/>
  <c r="K137" i="2"/>
  <c r="J137" i="2"/>
  <c r="L136" i="2"/>
  <c r="K136" i="2"/>
  <c r="J136" i="2"/>
  <c r="L135" i="2"/>
  <c r="K135" i="2"/>
  <c r="J135" i="2"/>
  <c r="L134" i="2"/>
  <c r="K134" i="2"/>
  <c r="J134" i="2"/>
  <c r="L133" i="2"/>
  <c r="K133" i="2"/>
  <c r="J133" i="2"/>
  <c r="L132" i="2"/>
  <c r="K132" i="2"/>
  <c r="J132" i="2"/>
  <c r="L131" i="2"/>
  <c r="K131" i="2"/>
  <c r="J131" i="2"/>
  <c r="L130" i="2"/>
  <c r="K130" i="2"/>
  <c r="J130" i="2"/>
  <c r="L129" i="2"/>
  <c r="K129" i="2"/>
  <c r="J129" i="2"/>
  <c r="L128" i="2"/>
  <c r="K128" i="2"/>
  <c r="J128" i="2"/>
  <c r="L127" i="2"/>
  <c r="K127" i="2"/>
  <c r="J127" i="2"/>
  <c r="L126" i="2"/>
  <c r="K126" i="2"/>
  <c r="J126" i="2"/>
  <c r="L125" i="2"/>
  <c r="K125" i="2"/>
  <c r="J125" i="2"/>
  <c r="L124" i="2"/>
  <c r="K124" i="2"/>
  <c r="J124" i="2"/>
  <c r="L123" i="2"/>
  <c r="K123" i="2"/>
  <c r="J123" i="2"/>
  <c r="L122" i="2"/>
  <c r="K122" i="2"/>
  <c r="J122" i="2"/>
  <c r="L121" i="2"/>
  <c r="K121" i="2"/>
  <c r="J121" i="2"/>
  <c r="L120" i="2"/>
  <c r="K120" i="2"/>
  <c r="J120" i="2"/>
  <c r="L119" i="2"/>
  <c r="K119" i="2"/>
  <c r="J119" i="2"/>
  <c r="L118" i="2"/>
  <c r="K118" i="2"/>
  <c r="J118" i="2"/>
  <c r="L117" i="2"/>
  <c r="K117" i="2"/>
  <c r="J117" i="2"/>
  <c r="L116" i="2"/>
  <c r="K116" i="2"/>
  <c r="J116" i="2"/>
  <c r="L115" i="2"/>
  <c r="K115" i="2"/>
  <c r="J115" i="2"/>
  <c r="L114" i="2"/>
  <c r="K114" i="2"/>
  <c r="J114" i="2"/>
  <c r="L113" i="2"/>
  <c r="K113" i="2"/>
  <c r="J113" i="2"/>
  <c r="L112" i="2"/>
  <c r="K112" i="2"/>
  <c r="J112" i="2"/>
  <c r="L111" i="2"/>
  <c r="K111" i="2"/>
  <c r="J111" i="2"/>
  <c r="M111" i="2" s="1"/>
  <c r="L110" i="2"/>
  <c r="K110" i="2"/>
  <c r="J110" i="2"/>
  <c r="L109" i="2"/>
  <c r="K109" i="2"/>
  <c r="J109" i="2"/>
  <c r="L108" i="2"/>
  <c r="K108" i="2"/>
  <c r="J108" i="2"/>
  <c r="L107" i="2"/>
  <c r="K107" i="2"/>
  <c r="J107" i="2"/>
  <c r="L38" i="2"/>
  <c r="K38" i="2"/>
  <c r="J38" i="2"/>
  <c r="L106" i="2"/>
  <c r="K106" i="2"/>
  <c r="J106" i="2"/>
  <c r="L105" i="2"/>
  <c r="K105" i="2"/>
  <c r="J105" i="2"/>
  <c r="L104" i="2"/>
  <c r="K104" i="2"/>
  <c r="J104" i="2"/>
  <c r="L103" i="2"/>
  <c r="K103" i="2"/>
  <c r="J103" i="2"/>
  <c r="L102" i="2"/>
  <c r="K102" i="2"/>
  <c r="J102" i="2"/>
  <c r="L101" i="2"/>
  <c r="K101" i="2"/>
  <c r="J101" i="2"/>
  <c r="L100" i="2"/>
  <c r="K100" i="2"/>
  <c r="J100" i="2"/>
  <c r="L99" i="2"/>
  <c r="K99" i="2"/>
  <c r="J99" i="2"/>
  <c r="L98" i="2"/>
  <c r="K98" i="2"/>
  <c r="J98" i="2"/>
  <c r="L97" i="2"/>
  <c r="K97" i="2"/>
  <c r="J97" i="2"/>
  <c r="L96" i="2"/>
  <c r="K96" i="2"/>
  <c r="J96" i="2"/>
  <c r="L95" i="2"/>
  <c r="K95" i="2"/>
  <c r="J95" i="2"/>
  <c r="L37" i="2"/>
  <c r="K37" i="2"/>
  <c r="J37" i="2"/>
  <c r="L94" i="2"/>
  <c r="K94" i="2"/>
  <c r="J94" i="2"/>
  <c r="L93" i="2"/>
  <c r="K93" i="2"/>
  <c r="J93" i="2"/>
  <c r="L92" i="2"/>
  <c r="K92" i="2"/>
  <c r="J92" i="2"/>
  <c r="L36" i="2"/>
  <c r="K36" i="2"/>
  <c r="J36" i="2"/>
  <c r="L91" i="2"/>
  <c r="K91" i="2"/>
  <c r="J91" i="2"/>
  <c r="L90" i="2"/>
  <c r="K90" i="2"/>
  <c r="J90" i="2"/>
  <c r="L89" i="2"/>
  <c r="K89" i="2"/>
  <c r="J89" i="2"/>
  <c r="L35" i="2"/>
  <c r="K35" i="2"/>
  <c r="J35" i="2"/>
  <c r="L88" i="2"/>
  <c r="K88" i="2"/>
  <c r="J88" i="2"/>
  <c r="L87" i="2"/>
  <c r="K87" i="2"/>
  <c r="J87" i="2"/>
  <c r="L86" i="2"/>
  <c r="K86" i="2"/>
  <c r="J86" i="2"/>
  <c r="L85" i="2"/>
  <c r="K85" i="2"/>
  <c r="J85" i="2"/>
  <c r="L84" i="2"/>
  <c r="K84" i="2"/>
  <c r="J84" i="2"/>
  <c r="L83" i="2"/>
  <c r="K83" i="2"/>
  <c r="J83" i="2"/>
  <c r="L82" i="2"/>
  <c r="K82" i="2"/>
  <c r="J82" i="2"/>
  <c r="L81" i="2"/>
  <c r="K81" i="2"/>
  <c r="J81" i="2"/>
  <c r="L80" i="2"/>
  <c r="K80" i="2"/>
  <c r="J80" i="2"/>
  <c r="L79" i="2"/>
  <c r="K79" i="2"/>
  <c r="J79" i="2"/>
  <c r="L78" i="2"/>
  <c r="K78" i="2"/>
  <c r="J78" i="2"/>
  <c r="L77" i="2"/>
  <c r="K77" i="2"/>
  <c r="J77" i="2"/>
  <c r="L34" i="2"/>
  <c r="K34" i="2"/>
  <c r="J34" i="2"/>
  <c r="L76" i="2"/>
  <c r="K76" i="2"/>
  <c r="J76" i="2"/>
  <c r="L75" i="2"/>
  <c r="K75" i="2"/>
  <c r="J75" i="2"/>
  <c r="L74" i="2"/>
  <c r="K74" i="2"/>
  <c r="J74" i="2"/>
  <c r="L73" i="2"/>
  <c r="K73" i="2"/>
  <c r="J73" i="2"/>
  <c r="L72" i="2"/>
  <c r="K72" i="2"/>
  <c r="J72" i="2"/>
  <c r="L71" i="2"/>
  <c r="K71" i="2"/>
  <c r="J71" i="2"/>
  <c r="L33" i="2"/>
  <c r="K33" i="2"/>
  <c r="J33" i="2"/>
  <c r="L70" i="2"/>
  <c r="K70" i="2"/>
  <c r="J70" i="2"/>
  <c r="L69" i="2"/>
  <c r="K69" i="2"/>
  <c r="J69" i="2"/>
  <c r="L68" i="2"/>
  <c r="K68" i="2"/>
  <c r="J68" i="2"/>
  <c r="L67" i="2"/>
  <c r="K67" i="2"/>
  <c r="J67" i="2"/>
  <c r="L66" i="2"/>
  <c r="K66" i="2"/>
  <c r="J66" i="2"/>
  <c r="L65" i="2"/>
  <c r="K65" i="2"/>
  <c r="J65" i="2"/>
  <c r="L64" i="2"/>
  <c r="K64" i="2"/>
  <c r="J64" i="2"/>
  <c r="L63" i="2"/>
  <c r="K63" i="2"/>
  <c r="J63" i="2"/>
  <c r="L32" i="2"/>
  <c r="K32" i="2"/>
  <c r="J32" i="2"/>
  <c r="L62" i="2"/>
  <c r="K62" i="2"/>
  <c r="J62" i="2"/>
  <c r="L61" i="2"/>
  <c r="K61" i="2"/>
  <c r="J61" i="2"/>
  <c r="L60" i="2"/>
  <c r="K60" i="2"/>
  <c r="J60" i="2"/>
  <c r="L59" i="2"/>
  <c r="K59" i="2"/>
  <c r="J59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M54" i="2" s="1"/>
  <c r="L31" i="2"/>
  <c r="K31" i="2"/>
  <c r="J31" i="2"/>
  <c r="L53" i="2"/>
  <c r="K53" i="2"/>
  <c r="J53" i="2"/>
  <c r="L52" i="2"/>
  <c r="K52" i="2"/>
  <c r="J52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M44" i="2" s="1"/>
  <c r="L30" i="2"/>
  <c r="K30" i="2"/>
  <c r="J30" i="2"/>
  <c r="L43" i="2"/>
  <c r="K43" i="2"/>
  <c r="J43" i="2"/>
  <c r="L42" i="2"/>
  <c r="K42" i="2"/>
  <c r="J42" i="2"/>
  <c r="L41" i="2"/>
  <c r="K41" i="2"/>
  <c r="J41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M18" i="2" s="1"/>
  <c r="L17" i="2"/>
  <c r="K17" i="2"/>
  <c r="J17" i="2"/>
  <c r="L16" i="2"/>
  <c r="K16" i="2"/>
  <c r="J16" i="2"/>
  <c r="L15" i="2"/>
  <c r="K15" i="2"/>
  <c r="J15" i="2"/>
  <c r="L6" i="2"/>
  <c r="K6" i="2"/>
  <c r="J6" i="2"/>
  <c r="L14" i="2"/>
  <c r="K14" i="2"/>
  <c r="J14" i="2"/>
  <c r="M14" i="2" s="1"/>
  <c r="L13" i="2"/>
  <c r="K13" i="2"/>
  <c r="J13" i="2"/>
  <c r="L12" i="2"/>
  <c r="K12" i="2"/>
  <c r="J12" i="2"/>
  <c r="L11" i="2"/>
  <c r="K11" i="2"/>
  <c r="J11" i="2"/>
  <c r="L10" i="2"/>
  <c r="K10" i="2"/>
  <c r="J10" i="2"/>
  <c r="L5" i="2"/>
  <c r="K5" i="2"/>
  <c r="J5" i="2"/>
  <c r="L9" i="2"/>
  <c r="K9" i="2"/>
  <c r="J9" i="2"/>
  <c r="L4" i="2"/>
  <c r="K4" i="2"/>
  <c r="J4" i="2"/>
  <c r="L8" i="2"/>
  <c r="K8" i="2"/>
  <c r="J8" i="2"/>
  <c r="L7" i="2"/>
  <c r="K7" i="2"/>
  <c r="J7" i="2"/>
  <c r="L3" i="2"/>
  <c r="K3" i="2"/>
  <c r="J3" i="2"/>
  <c r="L2" i="2"/>
  <c r="K2" i="2"/>
  <c r="J2" i="2"/>
  <c r="M20" i="2" l="1"/>
  <c r="M178" i="2"/>
  <c r="M137" i="2"/>
  <c r="M67" i="2"/>
  <c r="M37" i="2"/>
  <c r="M141" i="2"/>
  <c r="M58" i="2"/>
  <c r="M193" i="2"/>
  <c r="M173" i="2"/>
  <c r="M131" i="2"/>
  <c r="M169" i="2"/>
  <c r="M40" i="2"/>
  <c r="M55" i="2"/>
  <c r="M160" i="2"/>
  <c r="M190" i="2"/>
  <c r="M10" i="2"/>
  <c r="M51" i="2"/>
  <c r="M155" i="2"/>
  <c r="M53" i="2"/>
  <c r="M46" i="2"/>
  <c r="M185" i="2"/>
  <c r="M186" i="2"/>
  <c r="M16" i="2"/>
  <c r="M23" i="2"/>
  <c r="M49" i="2"/>
  <c r="M163" i="2"/>
  <c r="M116" i="2"/>
  <c r="M132" i="2"/>
  <c r="M5" i="2"/>
  <c r="M24" i="2"/>
  <c r="M29" i="2"/>
  <c r="M64" i="2"/>
  <c r="M69" i="2"/>
  <c r="M73" i="2"/>
  <c r="M78" i="2"/>
  <c r="M159" i="2"/>
  <c r="M6" i="2"/>
  <c r="M128" i="2"/>
  <c r="M25" i="2"/>
  <c r="M107" i="2"/>
  <c r="M33" i="2"/>
  <c r="M98" i="2"/>
  <c r="M113" i="2"/>
  <c r="M61" i="2"/>
  <c r="M80" i="2"/>
  <c r="M124" i="2"/>
  <c r="M156" i="2"/>
  <c r="M71" i="2"/>
  <c r="M86" i="2"/>
  <c r="M99" i="2"/>
  <c r="M140" i="2"/>
  <c r="M100" i="2"/>
  <c r="M13" i="2"/>
  <c r="M17" i="2"/>
  <c r="M28" i="2"/>
  <c r="M30" i="2"/>
  <c r="M68" i="2"/>
  <c r="M72" i="2"/>
  <c r="M82" i="2"/>
  <c r="M115" i="2"/>
  <c r="M172" i="2"/>
  <c r="M7" i="2"/>
  <c r="M59" i="2"/>
  <c r="M36" i="2"/>
  <c r="M144" i="2"/>
  <c r="M19" i="2"/>
  <c r="M41" i="2"/>
  <c r="M50" i="2"/>
  <c r="M77" i="2"/>
  <c r="M88" i="2"/>
  <c r="M106" i="2"/>
  <c r="M110" i="2"/>
  <c r="M188" i="2"/>
  <c r="M8" i="2"/>
  <c r="M11" i="2"/>
  <c r="M83" i="2"/>
  <c r="M96" i="2"/>
  <c r="M101" i="2"/>
  <c r="M125" i="2"/>
  <c r="M174" i="2"/>
  <c r="M42" i="2"/>
  <c r="M126" i="2"/>
  <c r="M146" i="2"/>
  <c r="M9" i="2"/>
  <c r="M57" i="2"/>
  <c r="M15" i="2"/>
  <c r="M92" i="2"/>
  <c r="M38" i="2"/>
  <c r="M170" i="2"/>
  <c r="M26" i="2"/>
  <c r="M84" i="2"/>
  <c r="M97" i="2"/>
  <c r="M121" i="2"/>
  <c r="M175" i="2"/>
  <c r="M79" i="2"/>
  <c r="M52" i="2"/>
  <c r="M56" i="2"/>
  <c r="M93" i="2"/>
  <c r="M157" i="2"/>
  <c r="M12" i="2"/>
  <c r="M43" i="2"/>
  <c r="M65" i="2"/>
  <c r="M70" i="2"/>
  <c r="M75" i="2"/>
  <c r="M122" i="2"/>
  <c r="M127" i="2"/>
  <c r="M147" i="2"/>
  <c r="M171" i="2"/>
  <c r="M27" i="2"/>
  <c r="M85" i="2"/>
  <c r="M94" i="2"/>
  <c r="M112" i="2"/>
  <c r="M142" i="2"/>
  <c r="M153" i="2"/>
  <c r="M158" i="2"/>
  <c r="M123" i="2"/>
  <c r="M66" i="2"/>
  <c r="M108" i="2"/>
  <c r="M138" i="2"/>
  <c r="M154" i="2"/>
  <c r="M3" i="2"/>
  <c r="M31" i="2"/>
  <c r="M87" i="2"/>
  <c r="M109" i="2"/>
  <c r="M114" i="2"/>
  <c r="M139" i="2"/>
  <c r="M187" i="2"/>
  <c r="M81" i="2"/>
  <c r="M45" i="2"/>
  <c r="M63" i="2"/>
  <c r="M95" i="2"/>
  <c r="M183" i="2"/>
  <c r="M167" i="2"/>
  <c r="M152" i="2"/>
  <c r="M136" i="2"/>
  <c r="M120" i="2"/>
  <c r="M105" i="2"/>
  <c r="M91" i="2"/>
  <c r="M34" i="2"/>
  <c r="M32" i="2"/>
  <c r="M48" i="2"/>
  <c r="M22" i="2"/>
  <c r="M182" i="2"/>
  <c r="M166" i="2"/>
  <c r="M151" i="2"/>
  <c r="M135" i="2"/>
  <c r="M119" i="2"/>
  <c r="M104" i="2"/>
  <c r="M90" i="2"/>
  <c r="M76" i="2"/>
  <c r="M62" i="2"/>
  <c r="M47" i="2"/>
  <c r="M21" i="2"/>
  <c r="M181" i="2"/>
  <c r="M39" i="2"/>
  <c r="M150" i="2"/>
  <c r="M134" i="2"/>
  <c r="M118" i="2"/>
  <c r="M103" i="2"/>
  <c r="M89" i="2"/>
  <c r="M195" i="2"/>
  <c r="M180" i="2"/>
  <c r="M165" i="2"/>
  <c r="M149" i="2"/>
  <c r="M133" i="2"/>
  <c r="M117" i="2"/>
  <c r="M102" i="2"/>
  <c r="M35" i="2"/>
  <c r="M74" i="2"/>
  <c r="M60" i="2"/>
  <c r="M194" i="2"/>
  <c r="M179" i="2"/>
  <c r="M164" i="2"/>
  <c r="M148" i="2"/>
  <c r="M192" i="2"/>
  <c r="M177" i="2"/>
  <c r="M162" i="2"/>
  <c r="M130" i="2"/>
  <c r="M191" i="2"/>
  <c r="M176" i="2"/>
  <c r="M161" i="2"/>
  <c r="M145" i="2"/>
  <c r="M129" i="2"/>
  <c r="M2" i="2"/>
  <c r="M4" i="2"/>
  <c r="M184" i="2"/>
  <c r="M168" i="2"/>
</calcChain>
</file>

<file path=xl/sharedStrings.xml><?xml version="1.0" encoding="utf-8"?>
<sst xmlns="http://schemas.openxmlformats.org/spreadsheetml/2006/main" count="1626" uniqueCount="699">
  <si>
    <t>内容文本</t>
  </si>
  <si>
    <t>发布时间</t>
  </si>
  <si>
    <t>发布地域</t>
  </si>
  <si>
    <t>点赞</t>
  </si>
  <si>
    <t>评论</t>
  </si>
  <si>
    <t>转发</t>
  </si>
  <si>
    <t>话题标签</t>
  </si>
  <si>
    <t>发布者ID</t>
  </si>
  <si>
    <t>是否间歇跑</t>
  </si>
  <si>
    <t>是否LSD</t>
  </si>
  <si>
    <t>是否节奏跑/阈值跑</t>
  </si>
  <si>
    <t>是否力量训练</t>
  </si>
  <si>
    <t>无用信息</t>
  </si>
  <si>
    <t>今天练了10组800米间歇跑，每组配速3:50，心率顶到185，最后两组有点崩</t>
  </si>
  <si>
    <t>北京</t>
  </si>
  <si>
    <t>#马拉松训练#间歇跑#心率控制</t>
  </si>
  <si>
    <t>runner_1023</t>
  </si>
  <si>
    <t>周末LSD拉练32公里，平均配速5:20，体感不错，最后5公里没有掉速</t>
  </si>
  <si>
    <t>上海</t>
  </si>
  <si>
    <t>#LSD#全马备赛#耐力训练</t>
  </si>
  <si>
    <t>lsd_runner</t>
  </si>
  <si>
    <t>新手求教：半马训练要不要练间歇跑？怕受伤</t>
  </si>
  <si>
    <t>广州</t>
  </si>
  <si>
    <t>#半马#间歇跑#新手跑步</t>
  </si>
  <si>
    <t>newb_4521</t>
  </si>
  <si>
    <t>全马破330计划，本周跑量70km，包括一次间歇+一次LSD+两次轻松跑</t>
  </si>
  <si>
    <t>深圳</t>
  </si>
  <si>
    <t>#全马330#训练计划#间歇跑</t>
  </si>
  <si>
    <t>pacer_99</t>
  </si>
  <si>
    <t>昨天的间歇跑数据：400米x15组，组间休息90秒，最大心率191</t>
  </si>
  <si>
    <t>成都</t>
  </si>
  <si>
    <t>#间歇跑#马拉松训练#跑力提升</t>
  </si>
  <si>
    <t>chengdu_55</t>
  </si>
  <si>
    <t>LSD跑完一定要补充碳水+蛋白质，否则恢复太慢，亲测有效</t>
  </si>
  <si>
    <t>杭州</t>
  </si>
  <si>
    <t>#LSD#恢复#跑步饮食</t>
  </si>
  <si>
    <t>hangzhou_88</t>
  </si>
  <si>
    <t>全马训练计划里间歇跑和LSD哪个更重要？我现在每周一次LSD，间歇两周一次够吗</t>
  </si>
  <si>
    <t>武汉</t>
  </si>
  <si>
    <t>#全马#间歇跑#LSD#训练计划</t>
  </si>
  <si>
    <t>wuhan_2023</t>
  </si>
  <si>
    <t>今天LSD28公里，最后3公里跑到目标配速4:50，信心大增</t>
  </si>
  <si>
    <t>重庆</t>
  </si>
  <si>
    <t>#LSD#马拉松#配速训练</t>
  </si>
  <si>
    <t>chongqing_77</t>
  </si>
  <si>
    <t>间歇跑要注意组间恢复，不要过早进入糖酵解系统，否则质量下降</t>
  </si>
  <si>
    <t>南京</t>
  </si>
  <si>
    <t>#间歇跑#运动生理学#科学训练</t>
  </si>
  <si>
    <t>nanjing_321</t>
  </si>
  <si>
    <t>赛前8周开始增加间歇跑比重，同时LSD距离不再增加，转为维持</t>
  </si>
  <si>
    <t>西安</t>
  </si>
  <si>
    <t>#马拉松备赛#间歇跑#LSD</t>
  </si>
  <si>
    <t>xian_654</t>
  </si>
  <si>
    <t>半马145目标，间歇跑练400米还是800米？求大神指导</t>
  </si>
  <si>
    <t>苏州</t>
  </si>
  <si>
    <t>#半马#间歇跑#目标配速</t>
  </si>
  <si>
    <t>suzhou_91</t>
  </si>
  <si>
    <t>千万不要每次跑LSD都拼尽全力，要按目标配速慢30-60秒</t>
  </si>
  <si>
    <t>郑州</t>
  </si>
  <si>
    <t>#LSD#跑步误区#耐力</t>
  </si>
  <si>
    <t>zhengzhou_47</t>
  </si>
  <si>
    <t>本周训练：周二间歇(800*10)，周四节奏跑，周六LSD(30km)，总跑量85km</t>
  </si>
  <si>
    <t>长沙</t>
  </si>
  <si>
    <t>#马拉松训练#周跑量#间歇跑</t>
  </si>
  <si>
    <t>changsha_66</t>
  </si>
  <si>
    <t>间歇跑后第二天感觉腿很沉，是不是强度太大了</t>
  </si>
  <si>
    <t>天津</t>
  </si>
  <si>
    <t>#间歇跑#疲劳恢复#受伤风险</t>
  </si>
  <si>
    <t>tianjin_28</t>
  </si>
  <si>
    <t>LSD跑中补给的实验：胶+盐丸，每45分钟一次，不再撞墙</t>
  </si>
  <si>
    <t>青岛</t>
  </si>
  <si>
    <t>#LSD#比赛补给#撞墙</t>
  </si>
  <si>
    <t>qingdao_83</t>
  </si>
  <si>
    <t>全马400训练计划，我几乎不跑间歇只堆跑量，可以吗</t>
  </si>
  <si>
    <t>宁波</t>
  </si>
  <si>
    <t>#全马400#堆跑量#间歇跑</t>
  </si>
  <si>
    <t>ningbo_54</t>
  </si>
  <si>
    <t>今天LSD跑完做了一套下肢力量训练，感觉髋关节稳定很多</t>
  </si>
  <si>
    <t>大连</t>
  </si>
  <si>
    <t>#LSD#力量训练#跑步伤病预防</t>
  </si>
  <si>
    <t>dalian_19</t>
  </si>
  <si>
    <t>间歇跑的热身和冷身被很多人忽略，我每次至少慢跑3km再开练</t>
  </si>
  <si>
    <t>昆明</t>
  </si>
  <si>
    <t>#间歇跑#热身#跑步习惯</t>
  </si>
  <si>
    <t>kunming_102</t>
  </si>
  <si>
    <t>对于进阶跑者，LSD里加入马配段落可以提升比赛信心</t>
  </si>
  <si>
    <t>厦门</t>
  </si>
  <si>
    <t>#LSD#马配#进阶训练</t>
  </si>
  <si>
    <t>xiamen_76</t>
  </si>
  <si>
    <t>半马训练营：每周一次间歇（1200x6），一次LSD（16-20km），效果很好</t>
  </si>
  <si>
    <t>合肥</t>
  </si>
  <si>
    <t>#半马训练营#间歇跑#LSD</t>
  </si>
  <si>
    <t>hefei_45</t>
  </si>
  <si>
    <t>下雨天没法跑间歇，改成室内爬坡+跑步机坡度跑，效果相似吗</t>
  </si>
  <si>
    <t>哈尔滨</t>
  </si>
  <si>
    <t>#间歇跑#雨天训练#替代训练</t>
  </si>
  <si>
    <t>haerbin_68</t>
  </si>
  <si>
    <t>LSD最低要跑多久才有效？我每次只跑90分钟够吗</t>
  </si>
  <si>
    <t>长春</t>
  </si>
  <si>
    <t>#LSD#训练时长#半马新手</t>
  </si>
  <si>
    <t>changchun_31</t>
  </si>
  <si>
    <t>间歇跑800米配速控制不好，前面太快后面掉速严重，怎么改善</t>
  </si>
  <si>
    <t>南昌</t>
  </si>
  <si>
    <t>#间歇跑#配速控制#训练问题</t>
  </si>
  <si>
    <t>nanchang_82</t>
  </si>
  <si>
    <t>大体重跑者适合练间歇跑吗？怕膝盖受不了</t>
  </si>
  <si>
    <t>济南</t>
  </si>
  <si>
    <t>#间歇跑#大体重#跑步损伤</t>
  </si>
  <si>
    <t>jinan_57</t>
  </si>
  <si>
    <t>今天LSD35公里，跑到28公里时小腿抽筋，可能是电解质失衡</t>
  </si>
  <si>
    <t>福州</t>
  </si>
  <si>
    <t>#LSD#抽筋#电解质</t>
  </si>
  <si>
    <t>fuzhou_64</t>
  </si>
  <si>
    <t>间歇跑组间休息应该走还是慢跑？我一直站着休息是不是错了</t>
  </si>
  <si>
    <t>南宁</t>
  </si>
  <si>
    <t>#间歇跑#组间休息#训练方法</t>
  </si>
  <si>
    <t>nanning_39</t>
  </si>
  <si>
    <t>全马训练计划中，间歇跑强度用RPE（主观疲劳度）控制更科学</t>
  </si>
  <si>
    <t>呼和浩特</t>
  </si>
  <si>
    <t>#间歇跑#RPE#科学训练</t>
  </si>
  <si>
    <t>huhehaote_12</t>
  </si>
  <si>
    <t>LSD跑后拉伸15分钟，第二天酸痛感明显减少，强烈推荐</t>
  </si>
  <si>
    <t>乌鲁木齐</t>
  </si>
  <si>
    <t>#LSD#拉伸#恢复</t>
  </si>
  <si>
    <t>wulumuqi_74</t>
  </si>
  <si>
    <t>间歇跑是不是速度越快越好？教练说要以目标5k配速为依据</t>
  </si>
  <si>
    <t>贵阳</t>
  </si>
  <si>
    <t>#间歇跑#配速策略#教练建议</t>
  </si>
  <si>
    <t>guiyang_56</t>
  </si>
  <si>
    <t>每两周一次超长LSD（35km以上），其他LSD控制在25km左右，更不容易受伤</t>
  </si>
  <si>
    <t>兰州</t>
  </si>
  <si>
    <t>#LSD#训练周期#受伤预防</t>
  </si>
  <si>
    <t>lanzhou_93</t>
  </si>
  <si>
    <t>半马训练只跑LSD不跑间歇，能完赛但成绩很难突破</t>
  </si>
  <si>
    <t>海口</t>
  </si>
  <si>
    <t>#半马#LSD#间歇跑</t>
  </si>
  <si>
    <t>haikou_23</t>
  </si>
  <si>
    <t>今天跑了一组法特莱克跑，算是间歇跑的变种，趣味性更强</t>
  </si>
  <si>
    <t>银川</t>
  </si>
  <si>
    <t>#法特莱克#间歇跑#趣味训练</t>
  </si>
  <si>
    <t>yinchuan_47</t>
  </si>
  <si>
    <t>LSD跑中鞋底感觉变硬，是不是跑鞋寿命到了</t>
  </si>
  <si>
    <t>西宁</t>
  </si>
  <si>
    <t>#LSD#跑鞋#装备</t>
  </si>
  <si>
    <t>xining_58</t>
  </si>
  <si>
    <t>间歇跑对最大摄氧量的提升非常明显，实测3周提高3个点</t>
  </si>
  <si>
    <t>石家庄</t>
  </si>
  <si>
    <t>#间歇跑#最大摄氧量#数据实测</t>
  </si>
  <si>
    <t>shijiazhuang_82</t>
  </si>
  <si>
    <t>下雨天跑LSD要穿防水外套，否则失温风险增加</t>
  </si>
  <si>
    <t>太原</t>
  </si>
  <si>
    <t>#LSD#雨天跑步#安全</t>
  </si>
  <si>
    <t>taiyuan_39</t>
  </si>
  <si>
    <t>新手全马训练第一年，建议先不要上高强度间歇，先建立有氧基础</t>
  </si>
  <si>
    <t>烟台</t>
  </si>
  <si>
    <t>#全马新手#间歇跑#有氧基础</t>
  </si>
  <si>
    <t>yantai_64</t>
  </si>
  <si>
    <t>今天LSD跑错路了跑了37公里，意外突破个人最长距离</t>
  </si>
  <si>
    <t>佛山</t>
  </si>
  <si>
    <t>#LSD#跑步趣事#长距离</t>
  </si>
  <si>
    <t>foshan_28</t>
  </si>
  <si>
    <t>间歇跑后一定要做冷身跑，否则血液集中在腿部容易头晕</t>
  </si>
  <si>
    <t>无锡</t>
  </si>
  <si>
    <t>#间歇跑#冷身#跑步安全</t>
  </si>
  <si>
    <t>wuxi_73</t>
  </si>
  <si>
    <t>全马训练计划科学性评估：间歇+阈+LSD+力量四者缺一不可</t>
  </si>
  <si>
    <t>保定</t>
  </si>
  <si>
    <t>#全马训练#科学性#间歇跑#LSD</t>
  </si>
  <si>
    <t>baoding_21</t>
  </si>
  <si>
    <t>LSD配速被朋友说太慢，但丹尼尔斯训练法就是这么要求的</t>
  </si>
  <si>
    <t>威海</t>
  </si>
  <si>
    <t>#LSD#配速争议#丹尼尔斯</t>
  </si>
  <si>
    <t>weihai_95</t>
  </si>
  <si>
    <t>今天跑间歇时左膝外侧有点疼，可能是髂胫束问题，要停训吗</t>
  </si>
  <si>
    <t>徐州</t>
  </si>
  <si>
    <t>#间歇跑#髂胫束#跑步伤病</t>
  </si>
  <si>
    <t>xuzhou_42</t>
  </si>
  <si>
    <t>高温天跑LSD要注意心率和体温，我昨天跑完出现热痉挛了</t>
  </si>
  <si>
    <t>洛阳</t>
  </si>
  <si>
    <t>#LSD#高温训练#热痉挛</t>
  </si>
  <si>
    <t>luoyang_59</t>
  </si>
  <si>
    <t>每周一次高强度间歇+一次中等强度LSD，比堆跑量效率高很多</t>
  </si>
  <si>
    <t>唐山</t>
  </si>
  <si>
    <t>#高效率训练#间歇跑#LSD</t>
  </si>
  <si>
    <t>tangshan_76</t>
  </si>
  <si>
    <t>全马破四训练中，我的间歇只练400米x12组，够不够？</t>
  </si>
  <si>
    <t>吉林</t>
  </si>
  <si>
    <t>#全马破四#间歇跑#训练咨询</t>
  </si>
  <si>
    <t>jilin_33</t>
  </si>
  <si>
    <t>LSD跑完做了冷热水交替淋浴，感觉恢复速度明显提升</t>
  </si>
  <si>
    <t>锦州</t>
  </si>
  <si>
    <t>#LSD#恢复手段#冷热交替</t>
  </si>
  <si>
    <t>jinzhou_87</t>
  </si>
  <si>
    <t>间歇跑不适合高温高湿环境，会极大增加心脏负担</t>
  </si>
  <si>
    <t>汕头</t>
  </si>
  <si>
    <t>#间歇跑#高温#风险提示</t>
  </si>
  <si>
    <t>shantou_51</t>
  </si>
  <si>
    <t>今天LSD跑前吃了根香蕉跑中喝了电解质水，全程没抽筋</t>
  </si>
  <si>
    <t>柳州</t>
  </si>
  <si>
    <t>#LSD#赛前饮食#电解质</t>
  </si>
  <si>
    <t>liuzhou_69</t>
  </si>
  <si>
    <t>半马145训练营要求间歇跑配速在4:00-4:10之间完成600米x8组</t>
  </si>
  <si>
    <t>绵阳</t>
  </si>
  <si>
    <t>#半马145#间歇跑#训练营</t>
  </si>
  <si>
    <t>mianyang_17</t>
  </si>
  <si>
    <t>LSD跑完测静息心率，如果比平时高5次以上说明疲劳未恢复</t>
  </si>
  <si>
    <t>宜宾</t>
  </si>
  <si>
    <t>#LSD#静息心率#疲劳监控</t>
  </si>
  <si>
    <t>yibin_84</t>
  </si>
  <si>
    <t>全马训练周期里，间歇跑应该安排在周期的第二阶段，不能一上来就练</t>
  </si>
  <si>
    <t>遵义</t>
  </si>
  <si>
    <t>#全马周期#间歇跑#训练阶段</t>
  </si>
  <si>
    <t>zunyi_62</t>
  </si>
  <si>
    <t>今天跑了一个混合训练：先40分钟LSD然后6组短距离间歇，感觉很不错</t>
  </si>
  <si>
    <t>齐齐哈尔</t>
  </si>
  <si>
    <t>#混合训练#LSD#间歇跑</t>
  </si>
  <si>
    <t>qiqihaer_46</t>
  </si>
  <si>
    <t>LSD过程中要不要喝水？我全程不喝跑完头晕</t>
  </si>
  <si>
    <t>牡丹江</t>
  </si>
  <si>
    <t>#LSD#补水#跑者误区</t>
  </si>
  <si>
    <t>mudanjiang_28</t>
  </si>
  <si>
    <t>间歇跑计数我用手表自动计圈，不然总会数错组数</t>
  </si>
  <si>
    <t>潍坊</t>
  </si>
  <si>
    <t>#间歇跑#跑步手表#训练工具</t>
  </si>
  <si>
    <t>weifang_73</t>
  </si>
  <si>
    <t>全马330训练计划中，LSD的最后8-10公里要跑进目标配速</t>
  </si>
  <si>
    <t>枣庄</t>
  </si>
  <si>
    <t>#全马330#LSD#配速策略</t>
  </si>
  <si>
    <t>zaozhuang_19</t>
  </si>
  <si>
    <t>今天LSD遇到爬升路段，改成了越野跑模式，配速掉了但强度不低</t>
  </si>
  <si>
    <t>泰安</t>
  </si>
  <si>
    <t>#LSD#越野跑#爬升</t>
  </si>
  <si>
    <t>taian_55</t>
  </si>
  <si>
    <t>间歇跑能否用爬楼梯代替？家住高层想利用起来</t>
  </si>
  <si>
    <t>临沂</t>
  </si>
  <si>
    <t>#间歇跑#替代训练#爬楼梯</t>
  </si>
  <si>
    <t>linyi_82</t>
  </si>
  <si>
    <t>LSD对心理韧性的锻炼比身体更大，最后10公里全靠意志力</t>
  </si>
  <si>
    <t>日照</t>
  </si>
  <si>
    <t>#LSD#心理韧性#马拉松精神</t>
  </si>
  <si>
    <t>rizhao_34</t>
  </si>
  <si>
    <t>全马训练不要每周都跑长LSD，应该三周长一周短这样周期安排</t>
  </si>
  <si>
    <t>菏泽</t>
  </si>
  <si>
    <t>#LSD#周期训练#跑休</t>
  </si>
  <si>
    <t>heze_68</t>
  </si>
  <si>
    <t>今天间歇跑尝试了递减组：1200-800-400-400-800-1200，很有趣</t>
  </si>
  <si>
    <t>聊城</t>
  </si>
  <si>
    <t>#间歇跑#递减组#训练创意</t>
  </si>
  <si>
    <t>liaocheng_47</t>
  </si>
  <si>
    <t>LSD跑后两小时内一定要补充蛋白质，否则肌肉分解风险上升</t>
  </si>
  <si>
    <t>德州</t>
  </si>
  <si>
    <t>#LSD#恢复营养#蛋白质</t>
  </si>
  <si>
    <t>dezhou_91</t>
  </si>
  <si>
    <t>半马训练营里80%的人不知道怎么科学安排间歇跑的强度</t>
  </si>
  <si>
    <t>滨州</t>
  </si>
  <si>
    <t>#半马训练营#间歇跑#科学评估</t>
  </si>
  <si>
    <t>binzhou_25</t>
  </si>
  <si>
    <t>今天跑完LSD发现脚底磨了水泡，可能是袜子不合适</t>
  </si>
  <si>
    <t>东营</t>
  </si>
  <si>
    <t>#LSD#跑步装备#水泡</t>
  </si>
  <si>
    <t>dongying_63</t>
  </si>
  <si>
    <t>间歇跑组间休息时间与跑步时间比例应该接近1:1或1:0.8</t>
  </si>
  <si>
    <t>呼伦贝尔</t>
  </si>
  <si>
    <t>#间歇跑#组间休息#训练原则</t>
  </si>
  <si>
    <t>hulunbeier_58</t>
  </si>
  <si>
    <t>全马430计划，我只练LSD不练间歇可以完赛，但后程会掉速严重</t>
  </si>
  <si>
    <t>巴彦淖尔</t>
  </si>
  <si>
    <t>#全马430#LSD#掉速</t>
  </si>
  <si>
    <t>bayannaoer_71</t>
  </si>
  <si>
    <t>今天LSD跑前做了动态热身+跑后静态拉伸，感觉肌肉状态更好</t>
  </si>
  <si>
    <t>鄂尔多斯</t>
  </si>
  <si>
    <t>#LSD#热身拉伸#跑步习惯</t>
  </si>
  <si>
    <t>eerduosi_89</t>
  </si>
  <si>
    <t>间歇跑时心率峰值不要超过最大心率的95%，否则容易过度疲劳</t>
  </si>
  <si>
    <t>乌海</t>
  </si>
  <si>
    <t>#间歇跑#心率区间#运动安全</t>
  </si>
  <si>
    <t>wuhai_37</t>
  </si>
  <si>
    <t>LSD不适合每周都冲距离，应该以时间为主（90-150分钟）更安全</t>
  </si>
  <si>
    <t>赤峰</t>
  </si>
  <si>
    <t>#LSD#训练时长#跑步安全</t>
  </si>
  <si>
    <t>chifeng_66</t>
  </si>
  <si>
    <t>全马训练计划科学性打分：有间歇有LSD有节奏跑给8分，只堆跑量给4分</t>
  </si>
  <si>
    <t>通辽</t>
  </si>
  <si>
    <t>#科学性评估#全马计划#间歇跑#LSD</t>
  </si>
  <si>
    <t>tongliao_83</t>
  </si>
  <si>
    <t>今天跑间歇时发现呼吸节奏乱了，后来用2步一呼2步一吸才稳住</t>
  </si>
  <si>
    <t>锡林浩特</t>
  </si>
  <si>
    <t>#间歇跑#呼吸节奏#跑步技巧</t>
  </si>
  <si>
    <t>xilinhaote_49</t>
  </si>
  <si>
    <t>LSD跑完做泡沫轴放松，小腿和大腿前侧疼得厉害但也放松得彻底</t>
  </si>
  <si>
    <t>乌兰察布</t>
  </si>
  <si>
    <t>#LSD#泡沫轴#肌肉放松</t>
  </si>
  <si>
    <t>wulanchabu_72</t>
  </si>
  <si>
    <t>半马训练中一次高质量的间歇跑比三次垃圾跑量更有价值</t>
  </si>
  <si>
    <t>兴安盟</t>
  </si>
  <si>
    <t>#半马训练#间歇跑#质量跑量</t>
  </si>
  <si>
    <t>xinganmeng_26</t>
  </si>
  <si>
    <t>今天LSD跑的是负配速：前半慢后半快，最后10公里跑出最佳状态</t>
  </si>
  <si>
    <t>阿拉善</t>
  </si>
  <si>
    <t>#LSD#负配速#训练策略</t>
  </si>
  <si>
    <t>alashan_88</t>
  </si>
  <si>
    <t>间歇跑前后72小时内不要安排大重量力量训练，会影响恢复</t>
  </si>
  <si>
    <t>#间歇跑#力量训练#训练安排</t>
  </si>
  <si>
    <t>shanghai_2024</t>
  </si>
  <si>
    <t>全马破三训练，LSD配速要在4:30-4:45之间，同时每周两次间歇</t>
  </si>
  <si>
    <t>#全马破三#LSD#间歇跑</t>
  </si>
  <si>
    <t>beijing_009</t>
  </si>
  <si>
    <t>今天LSD跑了30公里，平均心率153，处于有氧区间，很满意</t>
  </si>
  <si>
    <t>#LSD#心率区间#有氧耐力</t>
  </si>
  <si>
    <t>shenzhen_188</t>
  </si>
  <si>
    <t>间歇跑不适合在跑完LSD的第二天进行，身体尚未恢复</t>
  </si>
  <si>
    <t>#间歇跑#恢复时间#训练计划</t>
  </si>
  <si>
    <t>guangzhou_337</t>
  </si>
  <si>
    <t>新手半马训练可以从短距离间歇（200米x6组）开始建立速度感</t>
  </si>
  <si>
    <t>#半马新手#短距离间歇#速度感</t>
  </si>
  <si>
    <t>chengdu_562</t>
  </si>
  <si>
    <t>今天跑了一组金字塔间歇：200-400-800-1200-800-400-200，刺激度很高</t>
  </si>
  <si>
    <t>#金字塔间歇#间歇跑#强度训练</t>
  </si>
  <si>
    <t>hangzhou_719</t>
  </si>
  <si>
    <t>LSD跑中和跑后一定不要立即拉伸，要先慢走10分钟</t>
  </si>
  <si>
    <t>#LSD#拉伸时机#跑步建议</t>
  </si>
  <si>
    <t>wuhan_445</t>
  </si>
  <si>
    <t>全马训练计划里如果连续三周LSD距离不增加，身体会适应导致平台期</t>
  </si>
  <si>
    <t>#LSD#渐进超负荷#训练平台</t>
  </si>
  <si>
    <t>xian_891</t>
  </si>
  <si>
    <t>今天间歇跑跑出了历史最高跑力值，手表给加了2分</t>
  </si>
  <si>
    <t>#间歇跑#跑力值#数据提升</t>
  </si>
  <si>
    <t>nanjing_673</t>
  </si>
  <si>
    <t>LSD前一天应该吃高碳水晚餐，否则第二天跑到后半段没能量</t>
  </si>
  <si>
    <t>#LSD#碳水加载#赛前饮食</t>
  </si>
  <si>
    <t>suzhou_528</t>
  </si>
  <si>
    <t>间歇跑时步频不要刻意提高，保持185-190即可，重点是落地点</t>
  </si>
  <si>
    <t>#间歇跑#步频#跑步技术</t>
  </si>
  <si>
    <t>zhengzhou_764</t>
  </si>
  <si>
    <t>半马训练营数据：跑过间歇跑的人平均完赛时间快12分钟</t>
  </si>
  <si>
    <t>#半马训练营#间歇跑#数据分析</t>
  </si>
  <si>
    <t>changsha_907</t>
  </si>
  <si>
    <t>今天LSD跑吐了，原因是跑前吃太多而且跑得太急</t>
  </si>
  <si>
    <t>#LSD#跑步翻车#经验教训</t>
  </si>
  <si>
    <t>tianjin_345</t>
  </si>
  <si>
    <t>全马破四训练建议把间歇跑放在周三，LSD放在周六，间隔两天</t>
  </si>
  <si>
    <t>#全马破四#训练安排#间歇跑#LSD</t>
  </si>
  <si>
    <t>qingdao_672</t>
  </si>
  <si>
    <t>间歇跑不适合在跑姿不稳定时练，容易受伤，先打好基础</t>
  </si>
  <si>
    <t>#间歇跑#跑姿#受伤预防</t>
  </si>
  <si>
    <t>kunming_987</t>
  </si>
  <si>
    <t>今天LSD跑完后用筋膜枪放松了20分钟，第二天没有延迟性酸痛</t>
  </si>
  <si>
    <t>#LSD#筋膜枪#恢复</t>
  </si>
  <si>
    <t>xiamen_238</t>
  </si>
  <si>
    <t>用跑步功率计来指导间歇跑强度，比心率更实时准确</t>
  </si>
  <si>
    <t>#间歇跑#功率计#数据训练</t>
  </si>
  <si>
    <t>ningbo_556</t>
  </si>
  <si>
    <t>LSD跑到最后5公里感觉腿部力量不足，说明需要加强力量训练</t>
  </si>
  <si>
    <t>#LSD#力量不足#交叉训练</t>
  </si>
  <si>
    <t>dalian_874</t>
  </si>
  <si>
    <t>今天间歇跑跑完测了一下血乳酸，比上次降低了，说明耐受提高</t>
  </si>
  <si>
    <t>#间歇跑#血乳酸#科学评估</t>
  </si>
  <si>
    <t>haerbin_435</t>
  </si>
  <si>
    <t>半马训练营里很多女生LSD跑得很稳但不敢跑间歇，需要突破心理</t>
  </si>
  <si>
    <t>#半马训练营#LSD#间歇跑#心理障碍</t>
  </si>
  <si>
    <t>changchun_762</t>
  </si>
  <si>
    <t>全马训练计划里不要连续两周都上强度间歇，要安排恢复周</t>
  </si>
  <si>
    <t>#全马训练#间歇跑#恢复周</t>
  </si>
  <si>
    <t>nanchang_298</t>
  </si>
  <si>
    <t>今天LSD跑的是山地路段，上坡慢跑下坡控制速度，练了腿部力量</t>
  </si>
  <si>
    <t>#LSD#山地跑#力量</t>
  </si>
  <si>
    <t>jinan_645</t>
  </si>
  <si>
    <t>间歇跑结束后可以测一下恢复心率，1分钟下降30次以上说明心肺好</t>
  </si>
  <si>
    <t>#间歇跑#恢复心率#心肺能力</t>
  </si>
  <si>
    <t>fuzhou_519</t>
  </si>
  <si>
    <t>如果LSD跑完第二天静息心率高10%以上，说明要休息不要硬练</t>
  </si>
  <si>
    <t>#LSD#静息心率#过度训练</t>
  </si>
  <si>
    <t>nanning_783</t>
  </si>
  <si>
    <t>今天跑间歇时旁边大哥说我不像业余跑者，开心</t>
  </si>
  <si>
    <t>#间歇跑#成就感#跑圈</t>
  </si>
  <si>
    <t>huhehaote_654</t>
  </si>
  <si>
    <t>全马训练科学性调查：90%的高水平跑者会同时安排间歇+LSD+节奏跑</t>
  </si>
  <si>
    <t>#科学性#全马#间歇跑#LSD</t>
  </si>
  <si>
    <t>wulumuqi_921</t>
  </si>
  <si>
    <t>LSD跑中如果出现单侧屁股疼，可能是臀中肌无力导致骨盆不稳</t>
  </si>
  <si>
    <t>#LSD#臀中肌#跑步伤病</t>
  </si>
  <si>
    <t>guiyang_334</t>
  </si>
  <si>
    <t>半马145训练营要求LSD配速不低于5:30，否则有氧能力不够</t>
  </si>
  <si>
    <t>#半马145#LSD#有氧基础</t>
  </si>
  <si>
    <t>lanzhou_447</t>
  </si>
  <si>
    <t>今天间歇跑忘记喝水了，跑完口干舌燥差点低血糖</t>
  </si>
  <si>
    <t>#间歇跑#补水#低血糖</t>
  </si>
  <si>
    <t>haikou_778</t>
  </si>
  <si>
    <t>LSD跑前一定要做弓步蹲和侧弓步激活髋关节，否则容易受伤</t>
  </si>
  <si>
    <t>#LSD#髋关节激活#热身</t>
  </si>
  <si>
    <t>yinchuan_562</t>
  </si>
  <si>
    <t>全马330训练中LSD与间歇跑的能量系统互补：LSD用有氧系统，间歇刺激无氧</t>
  </si>
  <si>
    <t>#全马330#能量系统#LSD#间歇跑</t>
  </si>
  <si>
    <t>xining_891</t>
  </si>
  <si>
    <t>今天跑了一个通勤LSD：直接从家跑到公司23公里，省了交通时间</t>
  </si>
  <si>
    <t>#LSD#通勤跑步#跑者日常</t>
  </si>
  <si>
    <t>shijiazhuang_673</t>
  </si>
  <si>
    <t>间歇跑时如果每组掉速超过3秒说明休息时间不够或当天状态不佳</t>
  </si>
  <si>
    <t>#间歇跑#掉速#状态评估</t>
  </si>
  <si>
    <t>taiyuan_554</t>
  </si>
  <si>
    <t>今天测了一次5公里来评估间歇跑训练效果，PB了40秒，训练有效</t>
  </si>
  <si>
    <t>#间歇跑#5公里PB#训练评估</t>
  </si>
  <si>
    <t>shanghai_332</t>
  </si>
  <si>
    <t>LSD跑中脚底发热，换了一双厚袜子解决了，细节很重要</t>
  </si>
  <si>
    <t>#LSD#跑步装备#袜子</t>
  </si>
  <si>
    <t>beijing_887</t>
  </si>
  <si>
    <t>全马训练计划里间歇跑的比例不应超过总跑量的10%，否则受伤风险大增</t>
  </si>
  <si>
    <t>#全马训练#间歇跑#受伤风险#跑量比例</t>
  </si>
  <si>
    <t>guangzhou_445</t>
  </si>
  <si>
    <t>今天LSD跑完发现体重掉了2公斤，补了1.5升水和电解质才恢复</t>
  </si>
  <si>
    <t>#LSD#脱水#电解质补充</t>
  </si>
  <si>
    <t>shenzhen_556</t>
  </si>
  <si>
    <t>半马训练营中跑过间歇跑的人，最大摄氧量平均高出5ml/kg/min</t>
  </si>
  <si>
    <t>#半马训练营#间歇跑#最大摄氧量</t>
  </si>
  <si>
    <t>chengdu_778</t>
  </si>
  <si>
    <t>LSD跑之前如果睡眠不足6小时，后半程会非常痛苦，亲测</t>
  </si>
  <si>
    <t>#LSD#睡眠#恢复#训练质量</t>
  </si>
  <si>
    <t>hangzhou_223</t>
  </si>
  <si>
    <t>间歇跑时注意手臂摆动不要过肩线，否则浪费能量</t>
  </si>
  <si>
    <t>#间歇跑#跑姿#手臂摆动</t>
  </si>
  <si>
    <t>wuhan_665</t>
  </si>
  <si>
    <t>全马破四训练：LSD配速5:40-6:00，间歇跑800米配速4:20，这样安排合理吗</t>
  </si>
  <si>
    <t>#全马破四#LSD#间歇跑#配速咨询</t>
  </si>
  <si>
    <t>xian_334</t>
  </si>
  <si>
    <t>今天LSD跑完后用冷水泡脚15分钟，第二天脚踝没有肿胀</t>
  </si>
  <si>
    <t>#LSD#冷水浴#恢复手段</t>
  </si>
  <si>
    <t>nanjing_778</t>
  </si>
  <si>
    <t>半马两小时目标，要不要练间歇跑？还是只堆跑量就够了</t>
  </si>
  <si>
    <t>#半马两小时#间歇跑#堆跑量</t>
  </si>
  <si>
    <t>zhengzhou_990</t>
  </si>
  <si>
    <t>间歇跑不适合在跑完力量训练当天做，神经系统会过载</t>
  </si>
  <si>
    <t>#间歇跑#力量训练#神经系统</t>
  </si>
  <si>
    <t>suzhou_112</t>
  </si>
  <si>
    <t>今天LSD跑出了负劈叉，后半程比前半程快了6分钟，体感很爽</t>
  </si>
  <si>
    <t>#LSD#负劈叉#配速策略</t>
  </si>
  <si>
    <t>changsha_445</t>
  </si>
  <si>
    <t>全马训练计划中如果LSD跑后第二天还觉得腿酸，说明强度过大</t>
  </si>
  <si>
    <t>#LSD#疲劳评估#强度控制</t>
  </si>
  <si>
    <t>chongqing_667</t>
  </si>
  <si>
    <t>新手间歇跑从400米x6组开始，组间休息2分钟，不要一上来就800米</t>
  </si>
  <si>
    <t>#新手间歇跑#入门建议#训练安全</t>
  </si>
  <si>
    <t>tianjin_889</t>
  </si>
  <si>
    <t>今天LSD跑的是越野路线，配速掉了1分钟但体感强度更大，心率更高</t>
  </si>
  <si>
    <t>#LSD#越野跑#心率对比</t>
  </si>
  <si>
    <t>qingdao_223</t>
  </si>
  <si>
    <t>间歇跑跑完后做3组200米快速跑，可以进一步提升神经肌肉适应</t>
  </si>
  <si>
    <t>#间歇跑#神经肌肉#后续刺激</t>
  </si>
  <si>
    <t>全马330训练，LSD距离应该从25公里逐步增加到35公里，每周增加不超过10%</t>
  </si>
  <si>
    <t>#全马330#LSD#渐进原则</t>
  </si>
  <si>
    <t>dalian_778</t>
  </si>
  <si>
    <t>今天LSD跑中遇到红绿灯停了两次，被迫分成三段跑，效果打折</t>
  </si>
  <si>
    <t>#LSD#城市跑步#干扰因素</t>
  </si>
  <si>
    <t>kunming_334</t>
  </si>
  <si>
    <t>间歇跑如果每组心率不能回落到120以下就继续下一组，说明休息不够</t>
  </si>
  <si>
    <t>#间歇跑#心率恢复#组间休息</t>
  </si>
  <si>
    <t>xiamen_667</t>
  </si>
  <si>
    <t>半马训练营中规律跑LSD的人，比赛后程掉速率比不跑的人低37%</t>
  </si>
  <si>
    <t>#半马训练营#LSD#掉速率</t>
  </si>
  <si>
    <t>hefei_990</t>
  </si>
  <si>
    <t>今天跑了一个晨跑LSD，空腹跑的，结果跑到20公里就没能量了</t>
  </si>
  <si>
    <t>#LSD#空腹跑#能量不足</t>
  </si>
  <si>
    <t>haerbin_445</t>
  </si>
  <si>
    <t>间歇跑前动态热身必须包括高抬腿、后踢腿和开合跳，否则容易拉伤</t>
  </si>
  <si>
    <t>#间歇跑#动态热身#拉伤预防</t>
  </si>
  <si>
    <t>changchun_778</t>
  </si>
  <si>
    <t>全马破四的LSD不需要跑超过30公里，26-28公里就够</t>
  </si>
  <si>
    <t>#全马破四#LSD#距离上限</t>
  </si>
  <si>
    <t>nanchang_112</t>
  </si>
  <si>
    <t>今天间歇跑跑完感觉髋屈肌很紧，回家做了髋关节灵活性训练</t>
  </si>
  <si>
    <t>#间歇跑#髋屈肌#灵活性训练</t>
  </si>
  <si>
    <t>jinan_556</t>
  </si>
  <si>
    <t>LSD跑前应该排空大小便，否则跑到一半会想上厕所很麻烦</t>
  </si>
  <si>
    <t>#LSD#跑前准备#经验分享</t>
  </si>
  <si>
    <t>fuzhou_889</t>
  </si>
  <si>
    <t>半马训练中如果用功率计指导，间歇跑的目标功率应该是CP120的105-110%</t>
  </si>
  <si>
    <t>#半马训练#功率计#间歇跑强度</t>
  </si>
  <si>
    <t>nanning_334</t>
  </si>
  <si>
    <t>今天LSD跑完发现大腿后侧有拉扯感，可能是腘绳肌太紧需要加强拉伸</t>
  </si>
  <si>
    <t>#LSD#腘绳肌#拉伸</t>
  </si>
  <si>
    <t>guiyang_667</t>
  </si>
  <si>
    <t>全马训练计划科学性评估：同时包含间歇跑、LSD、节奏跑和力量训练的占跑者不到40%</t>
  </si>
  <si>
    <t>#科学性评估#全马#训练完整性</t>
  </si>
  <si>
    <t>huhehaote_223</t>
  </si>
  <si>
    <t>间歇跑不适合在坡度太大的路段进行，会过度刺激小腿</t>
  </si>
  <si>
    <t>#间歇跑#坡度#小腿刺激</t>
  </si>
  <si>
    <t>wulumuqi_778</t>
  </si>
  <si>
    <t>今天LSD跑了28公里，跑前吃了两片全麦面包+花生酱，全程没有饥饿感</t>
  </si>
  <si>
    <t>#LSD#赛前饮食#饱腹感</t>
  </si>
  <si>
    <t>lanzhou_445</t>
  </si>
  <si>
    <t>半马145训练中，间歇跑组数应该从6组逐步增加到10组，强度维持不变</t>
  </si>
  <si>
    <t>#半马145#间歇跑#组数递增</t>
  </si>
  <si>
    <t>haikou_990</t>
  </si>
  <si>
    <t>LSD跑中如果出现膝盖外侧疼痛应立即停止，可能是髂胫束综合征前兆</t>
  </si>
  <si>
    <t>#LSD#膝盖疼痛#髂胫束</t>
  </si>
  <si>
    <t>yinchuan_334</t>
  </si>
  <si>
    <t>今天间歇跑尝试了爬坡间歇：200米上坡全力跑，慢走下坡，效果炸裂</t>
  </si>
  <si>
    <t>#爬坡间歇#间歇跑变式#强度训练</t>
  </si>
  <si>
    <t>xining_667</t>
  </si>
  <si>
    <t>全马训练中LSD和间歇跑应该安排在完全不同的两天，中间至少隔48小时</t>
  </si>
  <si>
    <t>#全马训练#训练间隔#LSD#间歇跑</t>
  </si>
  <si>
    <t>shijiazhuang_112</t>
  </si>
  <si>
    <t>今天LSD跑完发现脚趾甲变黑了，应该是跑鞋小了半码</t>
  </si>
  <si>
    <t>#LSD#黑脚趾#跑鞋尺码</t>
  </si>
  <si>
    <t>taiyuan_556</t>
  </si>
  <si>
    <t>间歇跑时用嘴巴呼吸还是鼻子呼吸？高强度时必须嘴巴鼻一起用</t>
  </si>
  <si>
    <t>#间歇跑#呼吸方式#高强度训练</t>
  </si>
  <si>
    <t>yantai_889</t>
  </si>
  <si>
    <t>半马训练计划中如果只选一项，宁愿选LSD而不是间歇跑，因为完赛优先</t>
  </si>
  <si>
    <t>#半马训练#优先级#LSD#完赛</t>
  </si>
  <si>
    <t>foshan_334</t>
  </si>
  <si>
    <t>今天LSD跑中尝试了每5公里喝一小口水，比跑完再喝效果好很多</t>
  </si>
  <si>
    <t>#LSD#跑中补水#频率</t>
  </si>
  <si>
    <t>wuxi_667</t>
  </si>
  <si>
    <t>间歇跑后72小时内不要做高强度的下肢力量训练，否则恢复不过来</t>
  </si>
  <si>
    <t>#间歇跑#力量训练#恢复周期</t>
  </si>
  <si>
    <t>baoding_990</t>
  </si>
  <si>
    <t>全马破三训练中LSD的平均配速应该比目标配速慢45-60秒，快了反而不好</t>
  </si>
  <si>
    <t>#全马破三#LSD#配速控制</t>
  </si>
  <si>
    <t>weihai_223</t>
  </si>
  <si>
    <t>今天跑了一个雨中LSD，穿防水袜和轻量冲锋衣，跑完反而很爽</t>
  </si>
  <si>
    <t>#LSD#雨天跑步#装备体验</t>
  </si>
  <si>
    <t>xuzhou_778</t>
  </si>
  <si>
    <t>间歇跑不适合在疲劳状态下进行，状态不好就改成恢复跑或休息</t>
  </si>
  <si>
    <t>#间歇跑#疲劳管理#训练决策</t>
  </si>
  <si>
    <t>luoyang_445</t>
  </si>
  <si>
    <t>半马训练营中跑过LSD+间歇跑组合的人，受伤率反而比只跑慢跑的人低</t>
  </si>
  <si>
    <t>#半马训练营#受伤率#训练多样性</t>
  </si>
  <si>
    <t>tangshan_667</t>
  </si>
  <si>
    <t>今天LSD跑前做了一个泡沫轴全身放松，跑起来感觉肌肉更舒展</t>
  </si>
  <si>
    <t>#LSD#泡沫轴#赛前准备</t>
  </si>
  <si>
    <t>jilin_990</t>
  </si>
  <si>
    <t>间歇跑如果每组跑的时间相同但距离越来越短，说明配速没有控制好</t>
  </si>
  <si>
    <t>#间歇跑#配速控制#训练精度</t>
  </si>
  <si>
    <t>jinzhou_334</t>
  </si>
  <si>
    <t>全马训练中LSD跑完后补充碳水化合物+蛋白质的比例最好是3:1</t>
  </si>
  <si>
    <t>#LSD#运动营养#恢复</t>
  </si>
  <si>
    <t>shantou_667</t>
  </si>
  <si>
    <t>今天跑了一个超短间歇：200米x12组，组间休息1分钟，练冲刺能力</t>
  </si>
  <si>
    <t>#短距离间歇#冲刺能力#速度训练</t>
  </si>
  <si>
    <t>liuzhou_778</t>
  </si>
  <si>
    <t>LSD跑中如果感觉一侧腰疼，可能是核心力量不足导致代偿</t>
  </si>
  <si>
    <t>#LSD#腰痛#核心力量</t>
  </si>
  <si>
    <t>mianyang_990</t>
  </si>
  <si>
    <t>半马计划中LSD和间歇跑的最佳间隔是2-3天，例如周二间歇周六LSD</t>
  </si>
  <si>
    <t>#半马计划#训练间隔#LSD#间歇跑</t>
  </si>
  <si>
    <t>yibin_556</t>
  </si>
  <si>
    <t>今天间歇跑跑出了生涯最高跑步动态数据，垂直步幅比降到6.5%</t>
  </si>
  <si>
    <t>#间歇跑#跑步动态#垂直步幅比</t>
  </si>
  <si>
    <t>zunyi_889</t>
  </si>
  <si>
    <t>今天LSD跑完用筋膜球踩了足底，足底筋膜炎的酸痛缓解了很多</t>
  </si>
  <si>
    <t>#LSD#足底筋膜#筋膜球</t>
  </si>
  <si>
    <t>beijing_234</t>
  </si>
  <si>
    <t>全马训练中间歇跑和LSD的比例应该是1:3的时间比，例如每周30分钟间歇+90分钟LSD</t>
  </si>
  <si>
    <t>#全马训练#时间比例#间歇跑#LSD</t>
  </si>
  <si>
    <t>shanghai_778</t>
  </si>
  <si>
    <t>半马新手问：LSD跑多少公里算够？有人说16有人说22，听谁的</t>
  </si>
  <si>
    <t>#半马新手#LSD距离#训练咨询</t>
  </si>
  <si>
    <t>guangzhou_556</t>
  </si>
  <si>
    <t>今天间歇跑跑完做了5分钟冷身跑，心率从172降到了112，恢复很快</t>
  </si>
  <si>
    <t>#间歇跑#冷身跑#心率恢复</t>
  </si>
  <si>
    <t>shenzhen_334</t>
  </si>
  <si>
    <t>LSD跑中如果出现恶心反胃，可能是补水过多或能量胶太浓了</t>
  </si>
  <si>
    <t>#LSD#恶心#补水问题</t>
  </si>
  <si>
    <t>chengdu_667</t>
  </si>
  <si>
    <t>全马训练计划里间歇跑强度用最大心率区间93-95%控制，LSD用70-75%</t>
  </si>
  <si>
    <t>#心率区间#间歇跑#LSD#训练强度</t>
  </si>
  <si>
    <t>hangzhou_990</t>
  </si>
  <si>
    <t>今天跑了一个背靠背：昨天LSD28公里，今天轻松跑8公里，排酸效果不错</t>
  </si>
  <si>
    <t>#背靠背#LSD#排酸跑</t>
  </si>
  <si>
    <t>wuhan_223</t>
  </si>
  <si>
    <t>间歇跑不适合在硬质路面上练，塑胶跑道对关节更友好</t>
  </si>
  <si>
    <t>#间歇跑#路面选择#关节保护</t>
  </si>
  <si>
    <t>xian_778</t>
  </si>
  <si>
    <t>半马训练营的数据分析：跑间歇跑的人比不跑的平均快14分钟，但受伤率只高3%</t>
  </si>
  <si>
    <t>nanjing_445</t>
  </si>
  <si>
    <t>今天LSD跑完后拉伸了20分钟，重点拉了大腿前侧和小腿，第二天完全不酸</t>
  </si>
  <si>
    <t>#LSD#拉伸#恢复效果</t>
  </si>
  <si>
    <t>zhengzhou_112</t>
  </si>
  <si>
    <t>全马破四计划中LSD不用跑超过2.5小时，以时间为主更安全</t>
  </si>
  <si>
    <t>#全马破四#LSD#时间原则</t>
  </si>
  <si>
    <t>suzhou_889</t>
  </si>
  <si>
    <t>间歇跑时如果小腿抽筋立即停下按摩，不要硬撑</t>
  </si>
  <si>
    <t>#间歇跑#小腿抽筋#安全提示</t>
  </si>
  <si>
    <t>changsha_334</t>
  </si>
  <si>
    <t>今天跑了一个LSD渐加速跑：前10公里6分、中10公里5:30、后10公里5分，练后程能力</t>
  </si>
  <si>
    <t>#渐加速LSD#后程能力#训练方法</t>
  </si>
  <si>
    <t>半马训练中如果只能跑两次强度课，一次间歇一次LSD是最佳组合</t>
  </si>
  <si>
    <t>#半马训练#强度课#间歇跑#LSD</t>
  </si>
  <si>
    <t>tianjin_990</t>
  </si>
  <si>
    <t>今天LSD跑前喝了一杯黑咖啡，感觉脂肪燃烧效率更高，跑得更轻松</t>
  </si>
  <si>
    <t>#LSD#黑咖啡#脂肪供能</t>
  </si>
  <si>
    <t>间歇跑的最佳跑姿是略微前倾，步频190+，不要大步幅</t>
  </si>
  <si>
    <t>#间歇跑#跑姿#步频</t>
  </si>
  <si>
    <t>ningbo_778</t>
  </si>
  <si>
    <t>全马训练中LSD跑完第二天如果静息心率升高10%以上，说明要减量</t>
  </si>
  <si>
    <t>#LSD#静息心率#减量信号</t>
  </si>
  <si>
    <t>dalian_445</t>
  </si>
  <si>
    <t>今天跑了一组超长间歇：1600米x4组，组间休息3分钟，很虐但很有效</t>
  </si>
  <si>
    <t>#超长间歇#耐力间歇#强度训练</t>
  </si>
  <si>
    <t>kunming_112</t>
  </si>
  <si>
    <t>LSD跑中不建议穿碳板鞋训练，会影响足底和小腿的自然发力</t>
  </si>
  <si>
    <t>#LSD#碳板鞋#训练装备</t>
  </si>
  <si>
    <t>xiamen_889</t>
  </si>
  <si>
    <t>半马145训练计划中，间歇跑的配速应该是5公里比赛配速减5-10秒</t>
  </si>
  <si>
    <t>#半马145#间歇跑#配速公式</t>
  </si>
  <si>
    <t>hefei_334</t>
  </si>
  <si>
    <t>今天LSD跑完发现心率带磨破了胸口皮肤，下次要用凡士林</t>
  </si>
  <si>
    <t>#LSD#心率带#皮肤磨损</t>
  </si>
  <si>
    <t>haerbin_667</t>
  </si>
  <si>
    <t>间歇跑训练中组间休息应该慢跑而不是静止，有助于清除乳酸</t>
  </si>
  <si>
    <t>#间歇跑#组间休息#乳酸清除</t>
  </si>
  <si>
    <t>changchun_990</t>
  </si>
  <si>
    <t>全马330训练中LSD的倒数第二周应该跑到35公里，最后一周减到22公里</t>
  </si>
  <si>
    <t>#全马330#LSD#减量周期</t>
  </si>
  <si>
    <t>nanchang_223</t>
  </si>
  <si>
    <t>今天跑了一个晨跑间歇跑，空腹跑的，感觉有力使不出来，以后得先吃根香蕉</t>
  </si>
  <si>
    <t>#间歇跑#空腹#能量不足</t>
  </si>
  <si>
    <t>jinan_778</t>
  </si>
  <si>
    <t>LSD跑中如果遇到脚底水泡，可以用肌贴贴住继续跑，赛后处理</t>
  </si>
  <si>
    <t>#LSD#水泡#应急处理</t>
  </si>
  <si>
    <t>fuzhou_445</t>
  </si>
  <si>
    <t>半马训练营中规律跑LSD+间歇跑的人，比赛时的平均心率比不跑的人低8次</t>
  </si>
  <si>
    <t>#半马训练营#心率优势#训练效果</t>
  </si>
  <si>
    <t>nanning_112</t>
  </si>
  <si>
    <t>今天跑了一个大下坡LSD，对股四头肌压力很大，跑完腿都在抖</t>
  </si>
  <si>
    <t>#LSD#下坡跑#股四头肌</t>
  </si>
  <si>
    <t>guiyang_889</t>
  </si>
  <si>
    <t>间歇跑不适合每周都追求进步，应该3周进步1周维持，避免平台期</t>
  </si>
  <si>
    <t>#间歇跑#周期安排#平台期</t>
  </si>
  <si>
    <t>lanzhou_334</t>
  </si>
  <si>
    <t>全马训练中如果LSD跑后第二天出现发烧症状，可能是过度训练综合征</t>
  </si>
  <si>
    <t>#LSD#过度训练#发烧</t>
  </si>
  <si>
    <t>haikou_667</t>
  </si>
  <si>
    <t>今天跑了一个组间递减间歇跑：1200-1000-800-600-400，每组间休息2分钟</t>
  </si>
  <si>
    <t>#递减间歇#强度递减#训练创意</t>
  </si>
  <si>
    <t>yinchuan_990</t>
  </si>
  <si>
    <t>LSD跑前一定要检查鞋带松紧，太松会磨泡太紧会压迫足弓</t>
  </si>
  <si>
    <t>#LSD#鞋带#预防水泡</t>
  </si>
  <si>
    <t>xining_223</t>
  </si>
  <si>
    <t>间歇跑时手臂应该前后摆动而不是左右摆动，左右摆会浪费能量</t>
  </si>
  <si>
    <t>#间歇跑#手臂摆动#能量效率</t>
  </si>
  <si>
    <t>shijiazhuang_778</t>
  </si>
  <si>
    <t>半马130训练中，间歇跑应该达到800米3:10以内的配速</t>
  </si>
  <si>
    <t>#半马130#间歇跑#目标配速</t>
  </si>
  <si>
    <t>taiyuan_445</t>
  </si>
  <si>
    <t>今天跑了一个雨中LSD，跑完发现乳头被衣服磨出血了，下次贴创可贴</t>
  </si>
  <si>
    <t>#LSD#衣服摩擦#乳头保护</t>
  </si>
  <si>
    <t>yantai_112</t>
  </si>
  <si>
    <t>间歇跑训练如果每组掉速超过2%，说明当天状态不好或者休息不够</t>
  </si>
  <si>
    <t>#间歇跑#掉速#状态判断</t>
  </si>
  <si>
    <t>foshan_889</t>
  </si>
  <si>
    <t>全马破三训练中LSD的配速要求是4:20-4:30，同时每周至少一次间歇</t>
  </si>
  <si>
    <t>#全马破三#LSD配速#训练强度</t>
  </si>
  <si>
    <t>wuxi_334</t>
  </si>
  <si>
    <t>今天LSD跑完做了一组核心训练，平板支撑+侧支撑+臀桥，感觉核心稳定了</t>
  </si>
  <si>
    <t>#LSD#核心训练#跑步稳定</t>
  </si>
  <si>
    <t>baoding_667</t>
  </si>
  <si>
    <t>间歇跑不适合在感冒恢复期进行，会增加心肌炎风险</t>
  </si>
  <si>
    <t>#间歇跑#感冒#心肌炎风险</t>
  </si>
  <si>
    <t>weihai_990</t>
  </si>
  <si>
    <t>半马训练计划中LSD应该占周跑量的30-40%，间歇跑占10%左右</t>
  </si>
  <si>
    <t>#半马训练#跑量分配#LSD#间歇跑</t>
  </si>
  <si>
    <t>xuzhou_223</t>
  </si>
  <si>
    <t>今天跑了一个爬楼梯间歇：20层x5组，电梯下楼，作为间歇跑替代</t>
  </si>
  <si>
    <t>#爬楼梯间歇#替代训练#心肺刺激</t>
  </si>
  <si>
    <t>luoyang_778</t>
  </si>
  <si>
    <t>LSD跑中如果出现小腿前侧疼痛，可能是胫骨骨膜炎前兆，要马上停跑</t>
  </si>
  <si>
    <t>#LSD#胫骨骨膜炎#伤病预警</t>
  </si>
  <si>
    <t>tangshan_445</t>
  </si>
  <si>
    <t>间歇跑后喝巧克力牛奶比喝运动饮料恢复效果更好，蛋白质+碳水</t>
  </si>
  <si>
    <t>#间歇跑#恢复饮品#巧克力牛奶</t>
  </si>
  <si>
    <t>jilin_112</t>
  </si>
  <si>
    <t>全马训练中如果LSD和间歇跑同周进行，中间至少隔2天轻松跑</t>
  </si>
  <si>
    <t>jinzhou_889</t>
  </si>
  <si>
    <t>今天跑了一个负配速间歇跑：每组的配速都比上一组快0:05，刺激后程加速能力</t>
  </si>
  <si>
    <t>#负配速间歇#加速能力#训练变式</t>
  </si>
  <si>
    <t>shantou_334</t>
  </si>
  <si>
    <t>LSD跑完不要马上坐下，要慢走10分钟让心率缓慢下降，否则容易头晕</t>
  </si>
  <si>
    <t>#LSD#冷身#心率下降</t>
  </si>
  <si>
    <t>liuzhou_667</t>
  </si>
  <si>
    <t>半马训练营中跑完LSD+间歇跑组合的人，比赛自信度平均高出42%</t>
  </si>
  <si>
    <t>#半马训练营#自信度#训练组合</t>
  </si>
  <si>
    <t>今天跑了一个室内跑道LSD，30公里绕圈绕了150圈，差点绕晕</t>
  </si>
  <si>
    <t>#LSD#室内跑道#绕圈</t>
  </si>
  <si>
    <t>yibin_223</t>
  </si>
  <si>
    <t>间歇跑时手表报警配速偏离，要学会体感配速而不是只看数据</t>
  </si>
  <si>
    <t>#间歇跑#体感配速#数据依赖</t>
  </si>
  <si>
    <t>zunyi_778</t>
  </si>
  <si>
    <t>全马430训练中LSD距离不需要超过25公里，16-22公里完全够用</t>
  </si>
  <si>
    <t>#全马430#LSD#合理距离</t>
  </si>
  <si>
    <t>weifang_445</t>
  </si>
  <si>
    <t>今天跑了一个晨跑间歇跑，气温10度完美，跑出了近三个月最佳数据</t>
  </si>
  <si>
    <t>#晨跑间歇#气温舒适#最佳数据</t>
  </si>
  <si>
    <t>zaozhuang_112</t>
  </si>
  <si>
    <t>科学性总分</t>
  </si>
  <si>
    <t>全马or半马</t>
    <phoneticPr fontId="2" type="noConversion"/>
  </si>
  <si>
    <t>全马</t>
    <phoneticPr fontId="2" type="noConversion"/>
  </si>
  <si>
    <t>半马</t>
    <phoneticPr fontId="2" type="noConversion"/>
  </si>
  <si>
    <t>未明确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</si>
</sst>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"/>
  <sheetViews>
    <sheetView topLeftCell="F180" zoomScale="85" zoomScaleNormal="85" workbookViewId="0">
      <selection sqref="A1:M206"/>
    </sheetView>
  </sheetViews>
  <sheetFormatPr defaultColWidth="8.625" defaultRowHeight="14.25" x14ac:dyDescent="0.2"/>
  <cols>
    <col min="1" max="1" width="70.375" style="1" customWidth="1"/>
    <col min="2" max="2" width="13.125" style="1" customWidth="1"/>
    <col min="3" max="3" width="12.375" style="1" customWidth="1"/>
    <col min="4" max="4" width="11.375" style="1" customWidth="1"/>
    <col min="5" max="5" width="12.25" style="1" customWidth="1"/>
    <col min="6" max="6" width="13.875" style="1" customWidth="1"/>
    <col min="7" max="7" width="32.125" style="1" customWidth="1"/>
    <col min="8" max="8" width="12.625" style="1" customWidth="1"/>
    <col min="9" max="9" width="10.625" style="1" customWidth="1"/>
    <col min="10" max="10" width="8.125" style="1" customWidth="1"/>
    <col min="11" max="11" width="17.625" style="1" customWidth="1"/>
    <col min="12" max="12" width="12.75" style="1" customWidth="1"/>
    <col min="13" max="16384" width="8.6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2">
        <v>46091</v>
      </c>
      <c r="C2" s="1" t="s">
        <v>14</v>
      </c>
      <c r="D2" s="1">
        <v>342</v>
      </c>
      <c r="E2" s="1">
        <v>28</v>
      </c>
      <c r="F2" s="1">
        <v>15</v>
      </c>
      <c r="G2" s="1" t="s">
        <v>15</v>
      </c>
      <c r="H2" s="1" t="s">
        <v>16</v>
      </c>
      <c r="I2" s="1">
        <f>--ISNUMBER(SEARCH("间歇跑",$A2))</f>
        <v>1</v>
      </c>
      <c r="J2" s="1">
        <f>--ISNUMBER(SEARCH("LSD",$A2))</f>
        <v>0</v>
      </c>
      <c r="K2" s="1">
        <f>--OR(ISNUMBER(SEARCH("节奏",$A2)),ISNUMBER(SEARCH("阈",$A2)))</f>
        <v>0</v>
      </c>
      <c r="L2" s="1">
        <f>--ISNUMBER(SEARCH("力量",$A2))</f>
        <v>0</v>
      </c>
      <c r="M2" s="1" t="str">
        <f>IF(AND(I2=0,J2=0,K2=0,L2=0),"无用信息","有用信息")</f>
        <v>有用信息</v>
      </c>
    </row>
    <row r="3" spans="1:13" x14ac:dyDescent="0.2">
      <c r="A3" s="1" t="s">
        <v>17</v>
      </c>
      <c r="B3" s="2">
        <v>46089</v>
      </c>
      <c r="C3" s="1" t="s">
        <v>18</v>
      </c>
      <c r="D3" s="1">
        <v>567</v>
      </c>
      <c r="E3" s="1">
        <v>42</v>
      </c>
      <c r="F3" s="1">
        <v>31</v>
      </c>
      <c r="G3" s="1" t="s">
        <v>19</v>
      </c>
      <c r="H3" s="1" t="s">
        <v>20</v>
      </c>
      <c r="I3" s="1">
        <f t="shared" ref="I3:I66" si="0">--ISNUMBER(SEARCH("间歇跑",$A3))</f>
        <v>0</v>
      </c>
      <c r="J3" s="1">
        <f t="shared" ref="J3:J66" si="1">--ISNUMBER(SEARCH("LSD",$A3))</f>
        <v>1</v>
      </c>
      <c r="K3" s="1">
        <f t="shared" ref="K3:K66" si="2">--OR(ISNUMBER(SEARCH("节奏",$A3)),ISNUMBER(SEARCH("阈",$A3)))</f>
        <v>0</v>
      </c>
      <c r="L3" s="1">
        <f t="shared" ref="L3:L66" si="3">--ISNUMBER(SEARCH("力量",$A3))</f>
        <v>0</v>
      </c>
      <c r="M3" s="1" t="str">
        <f t="shared" ref="M3:M66" si="4">IF(AND(I3=0,J3=0,K3=0,L3=0),"无用信息","有用信息")</f>
        <v>有用信息</v>
      </c>
    </row>
    <row r="4" spans="1:13" x14ac:dyDescent="0.2">
      <c r="A4" s="1" t="s">
        <v>21</v>
      </c>
      <c r="B4" s="2">
        <v>46086</v>
      </c>
      <c r="C4" s="1" t="s">
        <v>22</v>
      </c>
      <c r="D4" s="1">
        <v>189</v>
      </c>
      <c r="E4" s="1">
        <v>56</v>
      </c>
      <c r="F4" s="1">
        <v>8</v>
      </c>
      <c r="G4" s="1" t="s">
        <v>23</v>
      </c>
      <c r="H4" s="1" t="s">
        <v>24</v>
      </c>
      <c r="I4" s="1">
        <f t="shared" si="0"/>
        <v>1</v>
      </c>
      <c r="J4" s="1">
        <f t="shared" si="1"/>
        <v>0</v>
      </c>
      <c r="K4" s="1">
        <f t="shared" si="2"/>
        <v>0</v>
      </c>
      <c r="L4" s="1">
        <f t="shared" si="3"/>
        <v>0</v>
      </c>
      <c r="M4" s="1" t="str">
        <f t="shared" si="4"/>
        <v>有用信息</v>
      </c>
    </row>
    <row r="5" spans="1:13" x14ac:dyDescent="0.2">
      <c r="A5" s="1" t="s">
        <v>25</v>
      </c>
      <c r="B5" s="2">
        <v>46093</v>
      </c>
      <c r="C5" s="1" t="s">
        <v>26</v>
      </c>
      <c r="D5" s="1">
        <v>834</v>
      </c>
      <c r="E5" s="1">
        <v>73</v>
      </c>
      <c r="F5" s="1">
        <v>62</v>
      </c>
      <c r="G5" s="1" t="s">
        <v>27</v>
      </c>
      <c r="H5" s="1" t="s">
        <v>28</v>
      </c>
      <c r="I5" s="1">
        <f t="shared" si="0"/>
        <v>0</v>
      </c>
      <c r="J5" s="1">
        <f t="shared" si="1"/>
        <v>1</v>
      </c>
      <c r="K5" s="1">
        <f t="shared" si="2"/>
        <v>0</v>
      </c>
      <c r="L5" s="1">
        <f t="shared" si="3"/>
        <v>0</v>
      </c>
      <c r="M5" s="1" t="str">
        <f t="shared" si="4"/>
        <v>有用信息</v>
      </c>
    </row>
    <row r="6" spans="1:13" x14ac:dyDescent="0.2">
      <c r="A6" s="1" t="s">
        <v>29</v>
      </c>
      <c r="B6" s="2">
        <v>46088</v>
      </c>
      <c r="C6" s="1" t="s">
        <v>30</v>
      </c>
      <c r="D6" s="1">
        <v>276</v>
      </c>
      <c r="E6" s="1">
        <v>19</v>
      </c>
      <c r="F6" s="1">
        <v>11</v>
      </c>
      <c r="G6" s="1" t="s">
        <v>31</v>
      </c>
      <c r="H6" s="1" t="s">
        <v>32</v>
      </c>
      <c r="I6" s="1">
        <f t="shared" si="0"/>
        <v>1</v>
      </c>
      <c r="J6" s="1">
        <f t="shared" si="1"/>
        <v>0</v>
      </c>
      <c r="K6" s="1">
        <f t="shared" si="2"/>
        <v>0</v>
      </c>
      <c r="L6" s="1">
        <f t="shared" si="3"/>
        <v>0</v>
      </c>
      <c r="M6" s="1" t="str">
        <f t="shared" si="4"/>
        <v>有用信息</v>
      </c>
    </row>
    <row r="7" spans="1:13" x14ac:dyDescent="0.2">
      <c r="A7" s="1" t="s">
        <v>33</v>
      </c>
      <c r="B7" s="2">
        <v>46087</v>
      </c>
      <c r="C7" s="1" t="s">
        <v>34</v>
      </c>
      <c r="D7" s="1">
        <v>412</v>
      </c>
      <c r="E7" s="1">
        <v>31</v>
      </c>
      <c r="F7" s="1">
        <v>24</v>
      </c>
      <c r="G7" s="1" t="s">
        <v>35</v>
      </c>
      <c r="H7" s="1" t="s">
        <v>36</v>
      </c>
      <c r="I7" s="1">
        <f t="shared" si="0"/>
        <v>0</v>
      </c>
      <c r="J7" s="1">
        <f t="shared" si="1"/>
        <v>1</v>
      </c>
      <c r="K7" s="1">
        <f t="shared" si="2"/>
        <v>0</v>
      </c>
      <c r="L7" s="1">
        <f t="shared" si="3"/>
        <v>0</v>
      </c>
      <c r="M7" s="1" t="str">
        <f t="shared" si="4"/>
        <v>有用信息</v>
      </c>
    </row>
    <row r="8" spans="1:13" x14ac:dyDescent="0.2">
      <c r="A8" s="1" t="s">
        <v>37</v>
      </c>
      <c r="B8" s="2">
        <v>46092</v>
      </c>
      <c r="C8" s="1" t="s">
        <v>38</v>
      </c>
      <c r="D8" s="1">
        <v>658</v>
      </c>
      <c r="E8" s="1">
        <v>89</v>
      </c>
      <c r="F8" s="1">
        <v>43</v>
      </c>
      <c r="G8" s="1" t="s">
        <v>39</v>
      </c>
      <c r="H8" s="1" t="s">
        <v>40</v>
      </c>
      <c r="I8" s="1">
        <f t="shared" si="0"/>
        <v>1</v>
      </c>
      <c r="J8" s="1">
        <f t="shared" si="1"/>
        <v>1</v>
      </c>
      <c r="K8" s="1">
        <f t="shared" si="2"/>
        <v>0</v>
      </c>
      <c r="L8" s="1">
        <f t="shared" si="3"/>
        <v>0</v>
      </c>
      <c r="M8" s="1" t="str">
        <f t="shared" si="4"/>
        <v>有用信息</v>
      </c>
    </row>
    <row r="9" spans="1:13" x14ac:dyDescent="0.2">
      <c r="A9" s="1" t="s">
        <v>41</v>
      </c>
      <c r="B9" s="2">
        <v>46090</v>
      </c>
      <c r="C9" s="1" t="s">
        <v>42</v>
      </c>
      <c r="D9" s="1">
        <v>504</v>
      </c>
      <c r="E9" s="1">
        <v>38</v>
      </c>
      <c r="F9" s="1">
        <v>19</v>
      </c>
      <c r="G9" s="1" t="s">
        <v>43</v>
      </c>
      <c r="H9" s="1" t="s">
        <v>44</v>
      </c>
      <c r="I9" s="1">
        <f t="shared" si="0"/>
        <v>0</v>
      </c>
      <c r="J9" s="1">
        <f t="shared" si="1"/>
        <v>1</v>
      </c>
      <c r="K9" s="1">
        <f t="shared" si="2"/>
        <v>0</v>
      </c>
      <c r="L9" s="1">
        <f t="shared" si="3"/>
        <v>0</v>
      </c>
      <c r="M9" s="1" t="str">
        <f t="shared" si="4"/>
        <v>有用信息</v>
      </c>
    </row>
    <row r="10" spans="1:13" x14ac:dyDescent="0.2">
      <c r="A10" s="1" t="s">
        <v>45</v>
      </c>
      <c r="B10" s="2">
        <v>46085</v>
      </c>
      <c r="C10" s="1" t="s">
        <v>46</v>
      </c>
      <c r="D10" s="1">
        <v>221</v>
      </c>
      <c r="E10" s="1">
        <v>17</v>
      </c>
      <c r="F10" s="1">
        <v>9</v>
      </c>
      <c r="G10" s="1" t="s">
        <v>47</v>
      </c>
      <c r="H10" s="1" t="s">
        <v>48</v>
      </c>
      <c r="I10" s="1">
        <f t="shared" si="0"/>
        <v>1</v>
      </c>
      <c r="J10" s="1">
        <f t="shared" si="1"/>
        <v>0</v>
      </c>
      <c r="K10" s="1">
        <f t="shared" si="2"/>
        <v>0</v>
      </c>
      <c r="L10" s="1">
        <f t="shared" si="3"/>
        <v>0</v>
      </c>
      <c r="M10" s="1" t="str">
        <f t="shared" si="4"/>
        <v>有用信息</v>
      </c>
    </row>
    <row r="11" spans="1:13" x14ac:dyDescent="0.2">
      <c r="A11" s="1" t="s">
        <v>49</v>
      </c>
      <c r="B11" s="2">
        <v>46084</v>
      </c>
      <c r="C11" s="1" t="s">
        <v>50</v>
      </c>
      <c r="D11" s="1">
        <v>387</v>
      </c>
      <c r="E11" s="1">
        <v>26</v>
      </c>
      <c r="F11" s="1">
        <v>14</v>
      </c>
      <c r="G11" s="1" t="s">
        <v>51</v>
      </c>
      <c r="H11" s="1" t="s">
        <v>52</v>
      </c>
      <c r="I11" s="1">
        <f t="shared" si="0"/>
        <v>1</v>
      </c>
      <c r="J11" s="1">
        <f t="shared" si="1"/>
        <v>1</v>
      </c>
      <c r="K11" s="1">
        <f t="shared" si="2"/>
        <v>0</v>
      </c>
      <c r="L11" s="1">
        <f t="shared" si="3"/>
        <v>0</v>
      </c>
      <c r="M11" s="1" t="str">
        <f t="shared" si="4"/>
        <v>有用信息</v>
      </c>
    </row>
    <row r="12" spans="1:13" x14ac:dyDescent="0.2">
      <c r="A12" s="1" t="s">
        <v>53</v>
      </c>
      <c r="B12" s="2">
        <v>46093</v>
      </c>
      <c r="C12" s="1" t="s">
        <v>54</v>
      </c>
      <c r="D12" s="1">
        <v>444</v>
      </c>
      <c r="E12" s="1">
        <v>72</v>
      </c>
      <c r="F12" s="1">
        <v>28</v>
      </c>
      <c r="G12" s="1" t="s">
        <v>55</v>
      </c>
      <c r="H12" s="1" t="s">
        <v>56</v>
      </c>
      <c r="I12" s="1">
        <f t="shared" si="0"/>
        <v>1</v>
      </c>
      <c r="J12" s="1">
        <f t="shared" si="1"/>
        <v>0</v>
      </c>
      <c r="K12" s="1">
        <f t="shared" si="2"/>
        <v>0</v>
      </c>
      <c r="L12" s="1">
        <f t="shared" si="3"/>
        <v>0</v>
      </c>
      <c r="M12" s="1" t="str">
        <f t="shared" si="4"/>
        <v>有用信息</v>
      </c>
    </row>
    <row r="13" spans="1:13" x14ac:dyDescent="0.2">
      <c r="A13" s="1" t="s">
        <v>57</v>
      </c>
      <c r="B13" s="2">
        <v>46091</v>
      </c>
      <c r="C13" s="1" t="s">
        <v>58</v>
      </c>
      <c r="D13" s="1">
        <v>512</v>
      </c>
      <c r="E13" s="1">
        <v>48</v>
      </c>
      <c r="F13" s="1">
        <v>33</v>
      </c>
      <c r="G13" s="1" t="s">
        <v>59</v>
      </c>
      <c r="H13" s="1" t="s">
        <v>60</v>
      </c>
      <c r="I13" s="1">
        <f t="shared" si="0"/>
        <v>0</v>
      </c>
      <c r="J13" s="1">
        <f t="shared" si="1"/>
        <v>1</v>
      </c>
      <c r="K13" s="1">
        <f t="shared" si="2"/>
        <v>0</v>
      </c>
      <c r="L13" s="1">
        <f t="shared" si="3"/>
        <v>0</v>
      </c>
      <c r="M13" s="1" t="str">
        <f t="shared" si="4"/>
        <v>有用信息</v>
      </c>
    </row>
    <row r="14" spans="1:13" x14ac:dyDescent="0.2">
      <c r="A14" s="1" t="s">
        <v>61</v>
      </c>
      <c r="B14" s="2">
        <v>46087</v>
      </c>
      <c r="C14" s="1" t="s">
        <v>62</v>
      </c>
      <c r="D14" s="1">
        <v>703</v>
      </c>
      <c r="E14" s="1">
        <v>55</v>
      </c>
      <c r="F14" s="1">
        <v>47</v>
      </c>
      <c r="G14" s="1" t="s">
        <v>63</v>
      </c>
      <c r="H14" s="1" t="s">
        <v>64</v>
      </c>
      <c r="I14" s="1">
        <f t="shared" si="0"/>
        <v>0</v>
      </c>
      <c r="J14" s="1">
        <f t="shared" si="1"/>
        <v>1</v>
      </c>
      <c r="K14" s="1">
        <f t="shared" si="2"/>
        <v>1</v>
      </c>
      <c r="L14" s="1">
        <f t="shared" si="3"/>
        <v>0</v>
      </c>
      <c r="M14" s="1" t="str">
        <f t="shared" si="4"/>
        <v>有用信息</v>
      </c>
    </row>
    <row r="15" spans="1:13" x14ac:dyDescent="0.2">
      <c r="A15" s="1" t="s">
        <v>65</v>
      </c>
      <c r="B15" s="2">
        <v>46083</v>
      </c>
      <c r="C15" s="1" t="s">
        <v>66</v>
      </c>
      <c r="D15" s="1">
        <v>198</v>
      </c>
      <c r="E15" s="1">
        <v>63</v>
      </c>
      <c r="F15" s="1">
        <v>12</v>
      </c>
      <c r="G15" s="1" t="s">
        <v>67</v>
      </c>
      <c r="H15" s="1" t="s">
        <v>68</v>
      </c>
      <c r="I15" s="1">
        <f t="shared" si="0"/>
        <v>1</v>
      </c>
      <c r="J15" s="1">
        <f t="shared" si="1"/>
        <v>0</v>
      </c>
      <c r="K15" s="1">
        <f t="shared" si="2"/>
        <v>0</v>
      </c>
      <c r="L15" s="1">
        <f t="shared" si="3"/>
        <v>0</v>
      </c>
      <c r="M15" s="1" t="str">
        <f t="shared" si="4"/>
        <v>有用信息</v>
      </c>
    </row>
    <row r="16" spans="1:13" x14ac:dyDescent="0.2">
      <c r="A16" s="1" t="s">
        <v>69</v>
      </c>
      <c r="B16" s="2">
        <v>46092</v>
      </c>
      <c r="C16" s="1" t="s">
        <v>70</v>
      </c>
      <c r="D16" s="1">
        <v>469</v>
      </c>
      <c r="E16" s="1">
        <v>35</v>
      </c>
      <c r="F16" s="1">
        <v>21</v>
      </c>
      <c r="G16" s="1" t="s">
        <v>71</v>
      </c>
      <c r="H16" s="1" t="s">
        <v>72</v>
      </c>
      <c r="I16" s="1">
        <f t="shared" si="0"/>
        <v>0</v>
      </c>
      <c r="J16" s="1">
        <f t="shared" si="1"/>
        <v>1</v>
      </c>
      <c r="K16" s="1">
        <f t="shared" si="2"/>
        <v>0</v>
      </c>
      <c r="L16" s="1">
        <f t="shared" si="3"/>
        <v>0</v>
      </c>
      <c r="M16" s="1" t="str">
        <f t="shared" si="4"/>
        <v>有用信息</v>
      </c>
    </row>
    <row r="17" spans="1:13" x14ac:dyDescent="0.2">
      <c r="A17" s="1" t="s">
        <v>73</v>
      </c>
      <c r="B17" s="2">
        <v>46090</v>
      </c>
      <c r="C17" s="1" t="s">
        <v>74</v>
      </c>
      <c r="D17" s="1">
        <v>305</v>
      </c>
      <c r="E17" s="1">
        <v>81</v>
      </c>
      <c r="F17" s="1">
        <v>25</v>
      </c>
      <c r="G17" s="1" t="s">
        <v>75</v>
      </c>
      <c r="H17" s="1" t="s">
        <v>76</v>
      </c>
      <c r="I17" s="1">
        <f t="shared" si="0"/>
        <v>0</v>
      </c>
      <c r="J17" s="1">
        <f t="shared" si="1"/>
        <v>0</v>
      </c>
      <c r="K17" s="1">
        <f t="shared" si="2"/>
        <v>0</v>
      </c>
      <c r="L17" s="1">
        <f t="shared" si="3"/>
        <v>0</v>
      </c>
      <c r="M17" s="1" t="str">
        <f t="shared" si="4"/>
        <v>无用信息</v>
      </c>
    </row>
    <row r="18" spans="1:13" x14ac:dyDescent="0.2">
      <c r="A18" s="1" t="s">
        <v>77</v>
      </c>
      <c r="B18" s="2">
        <v>46088</v>
      </c>
      <c r="C18" s="1" t="s">
        <v>78</v>
      </c>
      <c r="D18" s="1">
        <v>268</v>
      </c>
      <c r="E18" s="1">
        <v>22</v>
      </c>
      <c r="F18" s="1">
        <v>13</v>
      </c>
      <c r="G18" s="1" t="s">
        <v>79</v>
      </c>
      <c r="H18" s="1" t="s">
        <v>80</v>
      </c>
      <c r="I18" s="1">
        <f t="shared" si="0"/>
        <v>0</v>
      </c>
      <c r="J18" s="1">
        <f t="shared" si="1"/>
        <v>1</v>
      </c>
      <c r="K18" s="1">
        <f t="shared" si="2"/>
        <v>0</v>
      </c>
      <c r="L18" s="1">
        <f t="shared" si="3"/>
        <v>1</v>
      </c>
      <c r="M18" s="1" t="str">
        <f t="shared" si="4"/>
        <v>有用信息</v>
      </c>
    </row>
    <row r="19" spans="1:13" x14ac:dyDescent="0.2">
      <c r="A19" s="1" t="s">
        <v>81</v>
      </c>
      <c r="B19" s="2">
        <v>46089</v>
      </c>
      <c r="C19" s="1" t="s">
        <v>82</v>
      </c>
      <c r="D19" s="1">
        <v>334</v>
      </c>
      <c r="E19" s="1">
        <v>29</v>
      </c>
      <c r="F19" s="1">
        <v>17</v>
      </c>
      <c r="G19" s="1" t="s">
        <v>83</v>
      </c>
      <c r="H19" s="1" t="s">
        <v>84</v>
      </c>
      <c r="I19" s="1">
        <f t="shared" si="0"/>
        <v>1</v>
      </c>
      <c r="J19" s="1">
        <f t="shared" si="1"/>
        <v>0</v>
      </c>
      <c r="K19" s="1">
        <f t="shared" si="2"/>
        <v>0</v>
      </c>
      <c r="L19" s="1">
        <f t="shared" si="3"/>
        <v>0</v>
      </c>
      <c r="M19" s="1" t="str">
        <f t="shared" si="4"/>
        <v>有用信息</v>
      </c>
    </row>
    <row r="20" spans="1:13" x14ac:dyDescent="0.2">
      <c r="A20" s="1" t="s">
        <v>85</v>
      </c>
      <c r="B20" s="2">
        <v>46085</v>
      </c>
      <c r="C20" s="1" t="s">
        <v>86</v>
      </c>
      <c r="D20" s="1">
        <v>411</v>
      </c>
      <c r="E20" s="1">
        <v>31</v>
      </c>
      <c r="F20" s="1">
        <v>20</v>
      </c>
      <c r="G20" s="1" t="s">
        <v>87</v>
      </c>
      <c r="H20" s="1" t="s">
        <v>88</v>
      </c>
      <c r="I20" s="1">
        <f t="shared" si="0"/>
        <v>0</v>
      </c>
      <c r="J20" s="1">
        <f t="shared" si="1"/>
        <v>1</v>
      </c>
      <c r="K20" s="1">
        <f t="shared" si="2"/>
        <v>0</v>
      </c>
      <c r="L20" s="1">
        <f t="shared" si="3"/>
        <v>0</v>
      </c>
      <c r="M20" s="1" t="str">
        <f t="shared" si="4"/>
        <v>有用信息</v>
      </c>
    </row>
    <row r="21" spans="1:13" x14ac:dyDescent="0.2">
      <c r="A21" s="1" t="s">
        <v>89</v>
      </c>
      <c r="B21" s="2">
        <v>46093</v>
      </c>
      <c r="C21" s="1" t="s">
        <v>90</v>
      </c>
      <c r="D21" s="1">
        <v>577</v>
      </c>
      <c r="E21" s="1">
        <v>45</v>
      </c>
      <c r="F21" s="1">
        <v>36</v>
      </c>
      <c r="G21" s="1" t="s">
        <v>91</v>
      </c>
      <c r="H21" s="1" t="s">
        <v>92</v>
      </c>
      <c r="I21" s="1">
        <f t="shared" si="0"/>
        <v>0</v>
      </c>
      <c r="J21" s="1">
        <f t="shared" si="1"/>
        <v>1</v>
      </c>
      <c r="K21" s="1">
        <f t="shared" si="2"/>
        <v>0</v>
      </c>
      <c r="L21" s="1">
        <f t="shared" si="3"/>
        <v>0</v>
      </c>
      <c r="M21" s="1" t="str">
        <f t="shared" si="4"/>
        <v>有用信息</v>
      </c>
    </row>
    <row r="22" spans="1:13" x14ac:dyDescent="0.2">
      <c r="A22" s="1" t="s">
        <v>93</v>
      </c>
      <c r="B22" s="2">
        <v>46091</v>
      </c>
      <c r="C22" s="1" t="s">
        <v>94</v>
      </c>
      <c r="D22" s="1">
        <v>222</v>
      </c>
      <c r="E22" s="1">
        <v>54</v>
      </c>
      <c r="F22" s="1">
        <v>14</v>
      </c>
      <c r="G22" s="1" t="s">
        <v>95</v>
      </c>
      <c r="H22" s="1" t="s">
        <v>96</v>
      </c>
      <c r="I22" s="1">
        <f t="shared" si="0"/>
        <v>0</v>
      </c>
      <c r="J22" s="1">
        <f t="shared" si="1"/>
        <v>0</v>
      </c>
      <c r="K22" s="1">
        <f t="shared" si="2"/>
        <v>0</v>
      </c>
      <c r="L22" s="1">
        <f t="shared" si="3"/>
        <v>0</v>
      </c>
      <c r="M22" s="1" t="str">
        <f t="shared" si="4"/>
        <v>无用信息</v>
      </c>
    </row>
    <row r="23" spans="1:13" x14ac:dyDescent="0.2">
      <c r="A23" s="1" t="s">
        <v>97</v>
      </c>
      <c r="B23" s="2">
        <v>46084</v>
      </c>
      <c r="C23" s="1" t="s">
        <v>98</v>
      </c>
      <c r="D23" s="1">
        <v>178</v>
      </c>
      <c r="E23" s="1">
        <v>67</v>
      </c>
      <c r="F23" s="1">
        <v>9</v>
      </c>
      <c r="G23" s="1" t="s">
        <v>99</v>
      </c>
      <c r="H23" s="1" t="s">
        <v>100</v>
      </c>
      <c r="I23" s="1">
        <f t="shared" si="0"/>
        <v>0</v>
      </c>
      <c r="J23" s="1">
        <f t="shared" si="1"/>
        <v>1</v>
      </c>
      <c r="K23" s="1">
        <f t="shared" si="2"/>
        <v>0</v>
      </c>
      <c r="L23" s="1">
        <f t="shared" si="3"/>
        <v>0</v>
      </c>
      <c r="M23" s="1" t="str">
        <f t="shared" si="4"/>
        <v>有用信息</v>
      </c>
    </row>
    <row r="24" spans="1:13" x14ac:dyDescent="0.2">
      <c r="A24" s="1" t="s">
        <v>101</v>
      </c>
      <c r="B24" s="2">
        <v>46087</v>
      </c>
      <c r="C24" s="1" t="s">
        <v>102</v>
      </c>
      <c r="D24" s="1">
        <v>256</v>
      </c>
      <c r="E24" s="1">
        <v>48</v>
      </c>
      <c r="F24" s="1">
        <v>18</v>
      </c>
      <c r="G24" s="1" t="s">
        <v>103</v>
      </c>
      <c r="H24" s="1" t="s">
        <v>104</v>
      </c>
      <c r="I24" s="1">
        <f t="shared" si="0"/>
        <v>1</v>
      </c>
      <c r="J24" s="1">
        <f t="shared" si="1"/>
        <v>0</v>
      </c>
      <c r="K24" s="1">
        <f t="shared" si="2"/>
        <v>0</v>
      </c>
      <c r="L24" s="1">
        <f t="shared" si="3"/>
        <v>0</v>
      </c>
      <c r="M24" s="1" t="str">
        <f t="shared" si="4"/>
        <v>有用信息</v>
      </c>
    </row>
    <row r="25" spans="1:13" x14ac:dyDescent="0.2">
      <c r="A25" s="1" t="s">
        <v>105</v>
      </c>
      <c r="B25" s="2">
        <v>46090</v>
      </c>
      <c r="C25" s="1" t="s">
        <v>106</v>
      </c>
      <c r="D25" s="1">
        <v>313</v>
      </c>
      <c r="E25" s="1">
        <v>92</v>
      </c>
      <c r="F25" s="1">
        <v>27</v>
      </c>
      <c r="G25" s="1" t="s">
        <v>107</v>
      </c>
      <c r="H25" s="1" t="s">
        <v>108</v>
      </c>
      <c r="I25" s="1">
        <f t="shared" si="0"/>
        <v>1</v>
      </c>
      <c r="J25" s="1">
        <f t="shared" si="1"/>
        <v>0</v>
      </c>
      <c r="K25" s="1">
        <f t="shared" si="2"/>
        <v>0</v>
      </c>
      <c r="L25" s="1">
        <f t="shared" si="3"/>
        <v>0</v>
      </c>
      <c r="M25" s="1" t="str">
        <f t="shared" si="4"/>
        <v>有用信息</v>
      </c>
    </row>
    <row r="26" spans="1:13" x14ac:dyDescent="0.2">
      <c r="A26" s="1" t="s">
        <v>109</v>
      </c>
      <c r="B26" s="2">
        <v>46092</v>
      </c>
      <c r="C26" s="1" t="s">
        <v>110</v>
      </c>
      <c r="D26" s="1">
        <v>394</v>
      </c>
      <c r="E26" s="1">
        <v>43</v>
      </c>
      <c r="F26" s="1">
        <v>22</v>
      </c>
      <c r="G26" s="1" t="s">
        <v>111</v>
      </c>
      <c r="H26" s="1" t="s">
        <v>112</v>
      </c>
      <c r="I26" s="1">
        <f t="shared" si="0"/>
        <v>0</v>
      </c>
      <c r="J26" s="1">
        <f t="shared" si="1"/>
        <v>1</v>
      </c>
      <c r="K26" s="1">
        <f t="shared" si="2"/>
        <v>0</v>
      </c>
      <c r="L26" s="1">
        <f t="shared" si="3"/>
        <v>0</v>
      </c>
      <c r="M26" s="1" t="str">
        <f t="shared" si="4"/>
        <v>有用信息</v>
      </c>
    </row>
    <row r="27" spans="1:13" x14ac:dyDescent="0.2">
      <c r="A27" s="1" t="s">
        <v>113</v>
      </c>
      <c r="B27" s="2">
        <v>46086</v>
      </c>
      <c r="C27" s="1" t="s">
        <v>114</v>
      </c>
      <c r="D27" s="1">
        <v>287</v>
      </c>
      <c r="E27" s="1">
        <v>71</v>
      </c>
      <c r="F27" s="1">
        <v>19</v>
      </c>
      <c r="G27" s="1" t="s">
        <v>115</v>
      </c>
      <c r="H27" s="1" t="s">
        <v>116</v>
      </c>
      <c r="I27" s="1">
        <f t="shared" si="0"/>
        <v>1</v>
      </c>
      <c r="J27" s="1">
        <f t="shared" si="1"/>
        <v>0</v>
      </c>
      <c r="K27" s="1">
        <f t="shared" si="2"/>
        <v>0</v>
      </c>
      <c r="L27" s="1">
        <f t="shared" si="3"/>
        <v>0</v>
      </c>
      <c r="M27" s="1" t="str">
        <f t="shared" si="4"/>
        <v>有用信息</v>
      </c>
    </row>
    <row r="28" spans="1:13" x14ac:dyDescent="0.2">
      <c r="A28" s="1" t="s">
        <v>117</v>
      </c>
      <c r="B28" s="2">
        <v>46089</v>
      </c>
      <c r="C28" s="1" t="s">
        <v>118</v>
      </c>
      <c r="D28" s="1">
        <v>209</v>
      </c>
      <c r="E28" s="1">
        <v>21</v>
      </c>
      <c r="F28" s="1">
        <v>10</v>
      </c>
      <c r="G28" s="1" t="s">
        <v>119</v>
      </c>
      <c r="H28" s="1" t="s">
        <v>120</v>
      </c>
      <c r="I28" s="1">
        <f t="shared" si="0"/>
        <v>1</v>
      </c>
      <c r="J28" s="1">
        <f t="shared" si="1"/>
        <v>0</v>
      </c>
      <c r="K28" s="1">
        <f t="shared" si="2"/>
        <v>0</v>
      </c>
      <c r="L28" s="1">
        <f t="shared" si="3"/>
        <v>0</v>
      </c>
      <c r="M28" s="1" t="str">
        <f t="shared" si="4"/>
        <v>有用信息</v>
      </c>
    </row>
    <row r="29" spans="1:13" x14ac:dyDescent="0.2">
      <c r="A29" s="1" t="s">
        <v>121</v>
      </c>
      <c r="B29" s="2">
        <v>46091</v>
      </c>
      <c r="C29" s="1" t="s">
        <v>122</v>
      </c>
      <c r="D29" s="1">
        <v>345</v>
      </c>
      <c r="E29" s="1">
        <v>38</v>
      </c>
      <c r="F29" s="1">
        <v>23</v>
      </c>
      <c r="G29" s="1" t="s">
        <v>123</v>
      </c>
      <c r="H29" s="1" t="s">
        <v>124</v>
      </c>
      <c r="I29" s="1">
        <f t="shared" si="0"/>
        <v>0</v>
      </c>
      <c r="J29" s="1">
        <f t="shared" si="1"/>
        <v>1</v>
      </c>
      <c r="K29" s="1">
        <f t="shared" si="2"/>
        <v>0</v>
      </c>
      <c r="L29" s="1">
        <f t="shared" si="3"/>
        <v>0</v>
      </c>
      <c r="M29" s="1" t="str">
        <f t="shared" si="4"/>
        <v>有用信息</v>
      </c>
    </row>
    <row r="30" spans="1:13" x14ac:dyDescent="0.2">
      <c r="A30" s="1" t="s">
        <v>125</v>
      </c>
      <c r="B30" s="2">
        <v>46083</v>
      </c>
      <c r="C30" s="1" t="s">
        <v>126</v>
      </c>
      <c r="D30" s="1">
        <v>198</v>
      </c>
      <c r="E30" s="1">
        <v>49</v>
      </c>
      <c r="F30" s="1">
        <v>16</v>
      </c>
      <c r="G30" s="1" t="s">
        <v>127</v>
      </c>
      <c r="H30" s="1" t="s">
        <v>128</v>
      </c>
      <c r="I30" s="1">
        <f t="shared" si="0"/>
        <v>1</v>
      </c>
      <c r="J30" s="1">
        <f t="shared" si="1"/>
        <v>0</v>
      </c>
      <c r="K30" s="1">
        <f t="shared" si="2"/>
        <v>0</v>
      </c>
      <c r="L30" s="1">
        <f t="shared" si="3"/>
        <v>0</v>
      </c>
      <c r="M30" s="1" t="str">
        <f t="shared" si="4"/>
        <v>有用信息</v>
      </c>
    </row>
    <row r="31" spans="1:13" x14ac:dyDescent="0.2">
      <c r="A31" s="1" t="s">
        <v>129</v>
      </c>
      <c r="B31" s="2">
        <v>46088</v>
      </c>
      <c r="C31" s="1" t="s">
        <v>130</v>
      </c>
      <c r="D31" s="1">
        <v>426</v>
      </c>
      <c r="E31" s="1">
        <v>33</v>
      </c>
      <c r="F31" s="1">
        <v>26</v>
      </c>
      <c r="G31" s="1" t="s">
        <v>131</v>
      </c>
      <c r="H31" s="1" t="s">
        <v>132</v>
      </c>
      <c r="I31" s="1">
        <f t="shared" si="0"/>
        <v>0</v>
      </c>
      <c r="J31" s="1">
        <f t="shared" si="1"/>
        <v>1</v>
      </c>
      <c r="K31" s="1">
        <f t="shared" si="2"/>
        <v>0</v>
      </c>
      <c r="L31" s="1">
        <f t="shared" si="3"/>
        <v>0</v>
      </c>
      <c r="M31" s="1" t="str">
        <f t="shared" si="4"/>
        <v>有用信息</v>
      </c>
    </row>
    <row r="32" spans="1:13" x14ac:dyDescent="0.2">
      <c r="A32" s="1" t="s">
        <v>133</v>
      </c>
      <c r="B32" s="2">
        <v>46092</v>
      </c>
      <c r="C32" s="1" t="s">
        <v>134</v>
      </c>
      <c r="D32" s="1">
        <v>301</v>
      </c>
      <c r="E32" s="1">
        <v>58</v>
      </c>
      <c r="F32" s="1">
        <v>21</v>
      </c>
      <c r="G32" s="1" t="s">
        <v>135</v>
      </c>
      <c r="H32" s="1" t="s">
        <v>136</v>
      </c>
      <c r="I32" s="1">
        <f t="shared" si="0"/>
        <v>0</v>
      </c>
      <c r="J32" s="1">
        <f t="shared" si="1"/>
        <v>1</v>
      </c>
      <c r="K32" s="1">
        <f t="shared" si="2"/>
        <v>0</v>
      </c>
      <c r="L32" s="1">
        <f t="shared" si="3"/>
        <v>0</v>
      </c>
      <c r="M32" s="1" t="str">
        <f t="shared" si="4"/>
        <v>有用信息</v>
      </c>
    </row>
    <row r="33" spans="1:13" x14ac:dyDescent="0.2">
      <c r="A33" s="1" t="s">
        <v>137</v>
      </c>
      <c r="B33" s="2">
        <v>46087</v>
      </c>
      <c r="C33" s="1" t="s">
        <v>138</v>
      </c>
      <c r="D33" s="1">
        <v>189</v>
      </c>
      <c r="E33" s="1">
        <v>25</v>
      </c>
      <c r="F33" s="1">
        <v>12</v>
      </c>
      <c r="G33" s="1" t="s">
        <v>139</v>
      </c>
      <c r="H33" s="1" t="s">
        <v>140</v>
      </c>
      <c r="I33" s="1">
        <f t="shared" si="0"/>
        <v>1</v>
      </c>
      <c r="J33" s="1">
        <f t="shared" si="1"/>
        <v>0</v>
      </c>
      <c r="K33" s="1">
        <f t="shared" si="2"/>
        <v>0</v>
      </c>
      <c r="L33" s="1">
        <f t="shared" si="3"/>
        <v>0</v>
      </c>
      <c r="M33" s="1" t="str">
        <f t="shared" si="4"/>
        <v>有用信息</v>
      </c>
    </row>
    <row r="34" spans="1:13" x14ac:dyDescent="0.2">
      <c r="A34" s="1" t="s">
        <v>141</v>
      </c>
      <c r="B34" s="2">
        <v>46090</v>
      </c>
      <c r="C34" s="1" t="s">
        <v>142</v>
      </c>
      <c r="D34" s="1">
        <v>165</v>
      </c>
      <c r="E34" s="1">
        <v>41</v>
      </c>
      <c r="F34" s="1">
        <v>8</v>
      </c>
      <c r="G34" s="1" t="s">
        <v>143</v>
      </c>
      <c r="H34" s="1" t="s">
        <v>144</v>
      </c>
      <c r="I34" s="1">
        <f t="shared" si="0"/>
        <v>0</v>
      </c>
      <c r="J34" s="1">
        <f t="shared" si="1"/>
        <v>1</v>
      </c>
      <c r="K34" s="1">
        <f t="shared" si="2"/>
        <v>0</v>
      </c>
      <c r="L34" s="1">
        <f t="shared" si="3"/>
        <v>0</v>
      </c>
      <c r="M34" s="1" t="str">
        <f t="shared" si="4"/>
        <v>有用信息</v>
      </c>
    </row>
    <row r="35" spans="1:13" x14ac:dyDescent="0.2">
      <c r="A35" s="1" t="s">
        <v>145</v>
      </c>
      <c r="B35" s="2">
        <v>46093</v>
      </c>
      <c r="C35" s="1" t="s">
        <v>146</v>
      </c>
      <c r="D35" s="1">
        <v>504</v>
      </c>
      <c r="E35" s="1">
        <v>37</v>
      </c>
      <c r="F35" s="1">
        <v>33</v>
      </c>
      <c r="G35" s="1" t="s">
        <v>147</v>
      </c>
      <c r="H35" s="1" t="s">
        <v>148</v>
      </c>
      <c r="I35" s="1">
        <f t="shared" si="0"/>
        <v>1</v>
      </c>
      <c r="J35" s="1">
        <f t="shared" si="1"/>
        <v>0</v>
      </c>
      <c r="K35" s="1">
        <f t="shared" si="2"/>
        <v>0</v>
      </c>
      <c r="L35" s="1">
        <f t="shared" si="3"/>
        <v>0</v>
      </c>
      <c r="M35" s="1" t="str">
        <f t="shared" si="4"/>
        <v>有用信息</v>
      </c>
    </row>
    <row r="36" spans="1:13" x14ac:dyDescent="0.2">
      <c r="A36" s="1" t="s">
        <v>149</v>
      </c>
      <c r="B36" s="2">
        <v>46091</v>
      </c>
      <c r="C36" s="1" t="s">
        <v>150</v>
      </c>
      <c r="D36" s="1">
        <v>274</v>
      </c>
      <c r="E36" s="1">
        <v>29</v>
      </c>
      <c r="F36" s="1">
        <v>15</v>
      </c>
      <c r="G36" s="1" t="s">
        <v>151</v>
      </c>
      <c r="H36" s="1" t="s">
        <v>152</v>
      </c>
      <c r="I36" s="1">
        <f t="shared" si="0"/>
        <v>0</v>
      </c>
      <c r="J36" s="1">
        <f t="shared" si="1"/>
        <v>1</v>
      </c>
      <c r="K36" s="1">
        <f t="shared" si="2"/>
        <v>0</v>
      </c>
      <c r="L36" s="1">
        <f t="shared" si="3"/>
        <v>0</v>
      </c>
      <c r="M36" s="1" t="str">
        <f t="shared" si="4"/>
        <v>有用信息</v>
      </c>
    </row>
    <row r="37" spans="1:13" x14ac:dyDescent="0.2">
      <c r="A37" s="1" t="s">
        <v>153</v>
      </c>
      <c r="B37" s="2">
        <v>46085</v>
      </c>
      <c r="C37" s="1" t="s">
        <v>154</v>
      </c>
      <c r="D37" s="1">
        <v>422</v>
      </c>
      <c r="E37" s="1">
        <v>68</v>
      </c>
      <c r="F37" s="1">
        <v>31</v>
      </c>
      <c r="G37" s="1" t="s">
        <v>155</v>
      </c>
      <c r="H37" s="1" t="s">
        <v>156</v>
      </c>
      <c r="I37" s="1">
        <f t="shared" si="0"/>
        <v>0</v>
      </c>
      <c r="J37" s="1">
        <f t="shared" si="1"/>
        <v>0</v>
      </c>
      <c r="K37" s="1">
        <f t="shared" si="2"/>
        <v>0</v>
      </c>
      <c r="L37" s="1">
        <f t="shared" si="3"/>
        <v>0</v>
      </c>
      <c r="M37" s="1" t="str">
        <f t="shared" si="4"/>
        <v>无用信息</v>
      </c>
    </row>
    <row r="38" spans="1:13" x14ac:dyDescent="0.2">
      <c r="A38" s="1" t="s">
        <v>157</v>
      </c>
      <c r="B38" s="2">
        <v>46089</v>
      </c>
      <c r="C38" s="1" t="s">
        <v>158</v>
      </c>
      <c r="D38" s="1">
        <v>388</v>
      </c>
      <c r="E38" s="1">
        <v>51</v>
      </c>
      <c r="F38" s="1">
        <v>19</v>
      </c>
      <c r="G38" s="1" t="s">
        <v>159</v>
      </c>
      <c r="H38" s="1" t="s">
        <v>160</v>
      </c>
      <c r="I38" s="1">
        <f t="shared" si="0"/>
        <v>0</v>
      </c>
      <c r="J38" s="1">
        <f t="shared" si="1"/>
        <v>1</v>
      </c>
      <c r="K38" s="1">
        <f t="shared" si="2"/>
        <v>0</v>
      </c>
      <c r="L38" s="1">
        <f t="shared" si="3"/>
        <v>0</v>
      </c>
      <c r="M38" s="1" t="str">
        <f t="shared" si="4"/>
        <v>有用信息</v>
      </c>
    </row>
    <row r="39" spans="1:13" x14ac:dyDescent="0.2">
      <c r="A39" s="1" t="s">
        <v>161</v>
      </c>
      <c r="B39" s="2">
        <v>46084</v>
      </c>
      <c r="C39" s="1" t="s">
        <v>162</v>
      </c>
      <c r="D39" s="1">
        <v>201</v>
      </c>
      <c r="E39" s="1">
        <v>29</v>
      </c>
      <c r="F39" s="1">
        <v>11</v>
      </c>
      <c r="G39" s="1" t="s">
        <v>163</v>
      </c>
      <c r="H39" s="1" t="s">
        <v>164</v>
      </c>
      <c r="I39" s="1">
        <f t="shared" si="0"/>
        <v>1</v>
      </c>
      <c r="J39" s="1">
        <f t="shared" si="1"/>
        <v>0</v>
      </c>
      <c r="K39" s="1">
        <f t="shared" si="2"/>
        <v>0</v>
      </c>
      <c r="L39" s="1">
        <f t="shared" si="3"/>
        <v>0</v>
      </c>
      <c r="M39" s="1" t="str">
        <f t="shared" si="4"/>
        <v>有用信息</v>
      </c>
    </row>
    <row r="40" spans="1:13" x14ac:dyDescent="0.2">
      <c r="A40" s="1" t="s">
        <v>165</v>
      </c>
      <c r="B40" s="2">
        <v>46092</v>
      </c>
      <c r="C40" s="1" t="s">
        <v>166</v>
      </c>
      <c r="D40" s="1">
        <v>713</v>
      </c>
      <c r="E40" s="1">
        <v>89</v>
      </c>
      <c r="F40" s="1">
        <v>56</v>
      </c>
      <c r="G40" s="1" t="s">
        <v>167</v>
      </c>
      <c r="H40" s="1" t="s">
        <v>168</v>
      </c>
      <c r="I40" s="1">
        <f t="shared" si="0"/>
        <v>0</v>
      </c>
      <c r="J40" s="1">
        <f t="shared" si="1"/>
        <v>1</v>
      </c>
      <c r="K40" s="1">
        <f t="shared" si="2"/>
        <v>1</v>
      </c>
      <c r="L40" s="1">
        <f t="shared" si="3"/>
        <v>1</v>
      </c>
      <c r="M40" s="1" t="str">
        <f t="shared" si="4"/>
        <v>有用信息</v>
      </c>
    </row>
    <row r="41" spans="1:13" x14ac:dyDescent="0.2">
      <c r="A41" s="1" t="s">
        <v>169</v>
      </c>
      <c r="B41" s="2">
        <v>46088</v>
      </c>
      <c r="C41" s="1" t="s">
        <v>170</v>
      </c>
      <c r="D41" s="1">
        <v>312</v>
      </c>
      <c r="E41" s="1">
        <v>47</v>
      </c>
      <c r="F41" s="1">
        <v>22</v>
      </c>
      <c r="G41" s="1" t="s">
        <v>171</v>
      </c>
      <c r="H41" s="1" t="s">
        <v>172</v>
      </c>
      <c r="I41" s="1">
        <f t="shared" si="0"/>
        <v>0</v>
      </c>
      <c r="J41" s="1">
        <f t="shared" si="1"/>
        <v>1</v>
      </c>
      <c r="K41" s="1">
        <f t="shared" si="2"/>
        <v>0</v>
      </c>
      <c r="L41" s="1">
        <f t="shared" si="3"/>
        <v>0</v>
      </c>
      <c r="M41" s="1" t="str">
        <f t="shared" si="4"/>
        <v>有用信息</v>
      </c>
    </row>
    <row r="42" spans="1:13" x14ac:dyDescent="0.2">
      <c r="A42" s="1" t="s">
        <v>173</v>
      </c>
      <c r="B42" s="2">
        <v>46090</v>
      </c>
      <c r="C42" s="1" t="s">
        <v>174</v>
      </c>
      <c r="D42" s="1">
        <v>256</v>
      </c>
      <c r="E42" s="1">
        <v>73</v>
      </c>
      <c r="F42" s="1">
        <v>18</v>
      </c>
      <c r="G42" s="1" t="s">
        <v>175</v>
      </c>
      <c r="H42" s="1" t="s">
        <v>176</v>
      </c>
      <c r="I42" s="1">
        <f t="shared" si="0"/>
        <v>0</v>
      </c>
      <c r="J42" s="1">
        <f t="shared" si="1"/>
        <v>0</v>
      </c>
      <c r="K42" s="1">
        <f t="shared" si="2"/>
        <v>0</v>
      </c>
      <c r="L42" s="1">
        <f t="shared" si="3"/>
        <v>0</v>
      </c>
      <c r="M42" s="1" t="str">
        <f t="shared" si="4"/>
        <v>无用信息</v>
      </c>
    </row>
    <row r="43" spans="1:13" x14ac:dyDescent="0.2">
      <c r="A43" s="1" t="s">
        <v>177</v>
      </c>
      <c r="B43" s="2">
        <v>46093</v>
      </c>
      <c r="C43" s="1" t="s">
        <v>178</v>
      </c>
      <c r="D43" s="1">
        <v>369</v>
      </c>
      <c r="E43" s="1">
        <v>51</v>
      </c>
      <c r="F43" s="1">
        <v>27</v>
      </c>
      <c r="G43" s="1" t="s">
        <v>179</v>
      </c>
      <c r="H43" s="1" t="s">
        <v>180</v>
      </c>
      <c r="I43" s="1">
        <f t="shared" si="0"/>
        <v>0</v>
      </c>
      <c r="J43" s="1">
        <f t="shared" si="1"/>
        <v>1</v>
      </c>
      <c r="K43" s="1">
        <f t="shared" si="2"/>
        <v>0</v>
      </c>
      <c r="L43" s="1">
        <f t="shared" si="3"/>
        <v>0</v>
      </c>
      <c r="M43" s="1" t="str">
        <f t="shared" si="4"/>
        <v>有用信息</v>
      </c>
    </row>
    <row r="44" spans="1:13" x14ac:dyDescent="0.2">
      <c r="A44" s="1" t="s">
        <v>181</v>
      </c>
      <c r="B44" s="2">
        <v>46087</v>
      </c>
      <c r="C44" s="1" t="s">
        <v>182</v>
      </c>
      <c r="D44" s="1">
        <v>487</v>
      </c>
      <c r="E44" s="1">
        <v>38</v>
      </c>
      <c r="F44" s="1">
        <v>32</v>
      </c>
      <c r="G44" s="1" t="s">
        <v>183</v>
      </c>
      <c r="H44" s="1" t="s">
        <v>184</v>
      </c>
      <c r="I44" s="1">
        <f t="shared" si="0"/>
        <v>0</v>
      </c>
      <c r="J44" s="1">
        <f t="shared" si="1"/>
        <v>1</v>
      </c>
      <c r="K44" s="1">
        <f t="shared" si="2"/>
        <v>0</v>
      </c>
      <c r="L44" s="1">
        <f t="shared" si="3"/>
        <v>0</v>
      </c>
      <c r="M44" s="1" t="str">
        <f t="shared" si="4"/>
        <v>有用信息</v>
      </c>
    </row>
    <row r="45" spans="1:13" x14ac:dyDescent="0.2">
      <c r="A45" s="1" t="s">
        <v>185</v>
      </c>
      <c r="B45" s="2">
        <v>46091</v>
      </c>
      <c r="C45" s="1" t="s">
        <v>186</v>
      </c>
      <c r="D45" s="1">
        <v>234</v>
      </c>
      <c r="E45" s="1">
        <v>62</v>
      </c>
      <c r="F45" s="1">
        <v>14</v>
      </c>
      <c r="G45" s="1" t="s">
        <v>187</v>
      </c>
      <c r="H45" s="1" t="s">
        <v>188</v>
      </c>
      <c r="I45" s="1">
        <f t="shared" si="0"/>
        <v>0</v>
      </c>
      <c r="J45" s="1">
        <f t="shared" si="1"/>
        <v>0</v>
      </c>
      <c r="K45" s="1">
        <f t="shared" si="2"/>
        <v>0</v>
      </c>
      <c r="L45" s="1">
        <f t="shared" si="3"/>
        <v>0</v>
      </c>
      <c r="M45" s="1" t="str">
        <f t="shared" si="4"/>
        <v>无用信息</v>
      </c>
    </row>
    <row r="46" spans="1:13" x14ac:dyDescent="0.2">
      <c r="A46" s="1" t="s">
        <v>189</v>
      </c>
      <c r="B46" s="2">
        <v>46086</v>
      </c>
      <c r="C46" s="1" t="s">
        <v>190</v>
      </c>
      <c r="D46" s="1">
        <v>298</v>
      </c>
      <c r="E46" s="1">
        <v>27</v>
      </c>
      <c r="F46" s="1">
        <v>18</v>
      </c>
      <c r="G46" s="1" t="s">
        <v>191</v>
      </c>
      <c r="H46" s="1" t="s">
        <v>192</v>
      </c>
      <c r="I46" s="1">
        <f t="shared" si="0"/>
        <v>0</v>
      </c>
      <c r="J46" s="1">
        <f t="shared" si="1"/>
        <v>1</v>
      </c>
      <c r="K46" s="1">
        <f t="shared" si="2"/>
        <v>0</v>
      </c>
      <c r="L46" s="1">
        <f t="shared" si="3"/>
        <v>0</v>
      </c>
      <c r="M46" s="1" t="str">
        <f t="shared" si="4"/>
        <v>有用信息</v>
      </c>
    </row>
    <row r="47" spans="1:13" x14ac:dyDescent="0.2">
      <c r="A47" s="1" t="s">
        <v>193</v>
      </c>
      <c r="B47" s="2">
        <v>46089</v>
      </c>
      <c r="C47" s="1" t="s">
        <v>194</v>
      </c>
      <c r="D47" s="1">
        <v>217</v>
      </c>
      <c r="E47" s="1">
        <v>38</v>
      </c>
      <c r="F47" s="1">
        <v>13</v>
      </c>
      <c r="G47" s="1" t="s">
        <v>195</v>
      </c>
      <c r="H47" s="1" t="s">
        <v>196</v>
      </c>
      <c r="I47" s="1">
        <f t="shared" si="0"/>
        <v>1</v>
      </c>
      <c r="J47" s="1">
        <f t="shared" si="1"/>
        <v>0</v>
      </c>
      <c r="K47" s="1">
        <f t="shared" si="2"/>
        <v>0</v>
      </c>
      <c r="L47" s="1">
        <f t="shared" si="3"/>
        <v>0</v>
      </c>
      <c r="M47" s="1" t="str">
        <f t="shared" si="4"/>
        <v>有用信息</v>
      </c>
    </row>
    <row r="48" spans="1:13" x14ac:dyDescent="0.2">
      <c r="A48" s="1" t="s">
        <v>197</v>
      </c>
      <c r="B48" s="2">
        <v>46092</v>
      </c>
      <c r="C48" s="1" t="s">
        <v>198</v>
      </c>
      <c r="D48" s="1">
        <v>324</v>
      </c>
      <c r="E48" s="1">
        <v>35</v>
      </c>
      <c r="F48" s="1">
        <v>20</v>
      </c>
      <c r="G48" s="1" t="s">
        <v>199</v>
      </c>
      <c r="H48" s="1" t="s">
        <v>200</v>
      </c>
      <c r="I48" s="1">
        <f t="shared" si="0"/>
        <v>0</v>
      </c>
      <c r="J48" s="1">
        <f t="shared" si="1"/>
        <v>1</v>
      </c>
      <c r="K48" s="1">
        <f t="shared" si="2"/>
        <v>0</v>
      </c>
      <c r="L48" s="1">
        <f t="shared" si="3"/>
        <v>0</v>
      </c>
      <c r="M48" s="1" t="str">
        <f t="shared" si="4"/>
        <v>有用信息</v>
      </c>
    </row>
    <row r="49" spans="1:13" x14ac:dyDescent="0.2">
      <c r="A49" s="1" t="s">
        <v>201</v>
      </c>
      <c r="B49" s="2">
        <v>46088</v>
      </c>
      <c r="C49" s="1" t="s">
        <v>202</v>
      </c>
      <c r="D49" s="1">
        <v>412</v>
      </c>
      <c r="E49" s="1">
        <v>44</v>
      </c>
      <c r="F49" s="1">
        <v>25</v>
      </c>
      <c r="G49" s="1" t="s">
        <v>203</v>
      </c>
      <c r="H49" s="1" t="s">
        <v>204</v>
      </c>
      <c r="I49" s="1">
        <f t="shared" si="0"/>
        <v>1</v>
      </c>
      <c r="J49" s="1">
        <f t="shared" si="1"/>
        <v>0</v>
      </c>
      <c r="K49" s="1">
        <f t="shared" si="2"/>
        <v>0</v>
      </c>
      <c r="L49" s="1">
        <f t="shared" si="3"/>
        <v>0</v>
      </c>
      <c r="M49" s="1" t="str">
        <f t="shared" si="4"/>
        <v>有用信息</v>
      </c>
    </row>
    <row r="50" spans="1:13" x14ac:dyDescent="0.2">
      <c r="A50" s="1" t="s">
        <v>205</v>
      </c>
      <c r="B50" s="2">
        <v>46090</v>
      </c>
      <c r="C50" s="1" t="s">
        <v>206</v>
      </c>
      <c r="D50" s="1">
        <v>256</v>
      </c>
      <c r="E50" s="1">
        <v>30</v>
      </c>
      <c r="F50" s="1">
        <v>16</v>
      </c>
      <c r="G50" s="1" t="s">
        <v>207</v>
      </c>
      <c r="H50" s="1" t="s">
        <v>208</v>
      </c>
      <c r="I50" s="1">
        <f t="shared" si="0"/>
        <v>0</v>
      </c>
      <c r="J50" s="1">
        <f t="shared" si="1"/>
        <v>1</v>
      </c>
      <c r="K50" s="1">
        <f t="shared" si="2"/>
        <v>0</v>
      </c>
      <c r="L50" s="1">
        <f t="shared" si="3"/>
        <v>0</v>
      </c>
      <c r="M50" s="1" t="str">
        <f t="shared" si="4"/>
        <v>有用信息</v>
      </c>
    </row>
    <row r="51" spans="1:13" x14ac:dyDescent="0.2">
      <c r="A51" s="1" t="s">
        <v>209</v>
      </c>
      <c r="B51" s="2">
        <v>46085</v>
      </c>
      <c r="C51" s="1" t="s">
        <v>210</v>
      </c>
      <c r="D51" s="1">
        <v>389</v>
      </c>
      <c r="E51" s="1">
        <v>41</v>
      </c>
      <c r="F51" s="1">
        <v>28</v>
      </c>
      <c r="G51" s="1" t="s">
        <v>211</v>
      </c>
      <c r="H51" s="1" t="s">
        <v>212</v>
      </c>
      <c r="I51" s="1">
        <f t="shared" si="0"/>
        <v>1</v>
      </c>
      <c r="J51" s="1">
        <f t="shared" si="1"/>
        <v>0</v>
      </c>
      <c r="K51" s="1">
        <f t="shared" si="2"/>
        <v>0</v>
      </c>
      <c r="L51" s="1">
        <f t="shared" si="3"/>
        <v>0</v>
      </c>
      <c r="M51" s="1" t="str">
        <f t="shared" si="4"/>
        <v>有用信息</v>
      </c>
    </row>
    <row r="52" spans="1:13" x14ac:dyDescent="0.2">
      <c r="A52" s="1" t="s">
        <v>213</v>
      </c>
      <c r="B52" s="2">
        <v>46093</v>
      </c>
      <c r="C52" s="1" t="s">
        <v>214</v>
      </c>
      <c r="D52" s="1">
        <v>277</v>
      </c>
      <c r="E52" s="1">
        <v>33</v>
      </c>
      <c r="F52" s="1">
        <v>14</v>
      </c>
      <c r="G52" s="1" t="s">
        <v>215</v>
      </c>
      <c r="H52" s="1" t="s">
        <v>216</v>
      </c>
      <c r="I52" s="1">
        <f t="shared" si="0"/>
        <v>0</v>
      </c>
      <c r="J52" s="1">
        <f t="shared" si="1"/>
        <v>1</v>
      </c>
      <c r="K52" s="1">
        <f t="shared" si="2"/>
        <v>0</v>
      </c>
      <c r="L52" s="1">
        <f t="shared" si="3"/>
        <v>0</v>
      </c>
      <c r="M52" s="1" t="str">
        <f t="shared" si="4"/>
        <v>有用信息</v>
      </c>
    </row>
    <row r="53" spans="1:13" x14ac:dyDescent="0.2">
      <c r="A53" s="1" t="s">
        <v>217</v>
      </c>
      <c r="B53" s="2">
        <v>46091</v>
      </c>
      <c r="C53" s="1" t="s">
        <v>218</v>
      </c>
      <c r="D53" s="1">
        <v>193</v>
      </c>
      <c r="E53" s="1">
        <v>82</v>
      </c>
      <c r="F53" s="1">
        <v>17</v>
      </c>
      <c r="G53" s="1" t="s">
        <v>219</v>
      </c>
      <c r="H53" s="1" t="s">
        <v>220</v>
      </c>
      <c r="I53" s="1">
        <f t="shared" si="0"/>
        <v>0</v>
      </c>
      <c r="J53" s="1">
        <f t="shared" si="1"/>
        <v>1</v>
      </c>
      <c r="K53" s="1">
        <f t="shared" si="2"/>
        <v>0</v>
      </c>
      <c r="L53" s="1">
        <f t="shared" si="3"/>
        <v>0</v>
      </c>
      <c r="M53" s="1" t="str">
        <f t="shared" si="4"/>
        <v>有用信息</v>
      </c>
    </row>
    <row r="54" spans="1:13" x14ac:dyDescent="0.2">
      <c r="A54" s="1" t="s">
        <v>221</v>
      </c>
      <c r="B54" s="2">
        <v>46087</v>
      </c>
      <c r="C54" s="1" t="s">
        <v>222</v>
      </c>
      <c r="D54" s="1">
        <v>234</v>
      </c>
      <c r="E54" s="1">
        <v>26</v>
      </c>
      <c r="F54" s="1">
        <v>11</v>
      </c>
      <c r="G54" s="1" t="s">
        <v>223</v>
      </c>
      <c r="H54" s="1" t="s">
        <v>224</v>
      </c>
      <c r="I54" s="1">
        <f t="shared" si="0"/>
        <v>1</v>
      </c>
      <c r="J54" s="1">
        <f t="shared" si="1"/>
        <v>0</v>
      </c>
      <c r="K54" s="1">
        <f t="shared" si="2"/>
        <v>0</v>
      </c>
      <c r="L54" s="1">
        <f t="shared" si="3"/>
        <v>0</v>
      </c>
      <c r="M54" s="1" t="str">
        <f t="shared" si="4"/>
        <v>有用信息</v>
      </c>
    </row>
    <row r="55" spans="1:13" x14ac:dyDescent="0.2">
      <c r="A55" s="1" t="s">
        <v>225</v>
      </c>
      <c r="B55" s="2">
        <v>46092</v>
      </c>
      <c r="C55" s="1" t="s">
        <v>226</v>
      </c>
      <c r="D55" s="1">
        <v>508</v>
      </c>
      <c r="E55" s="1">
        <v>49</v>
      </c>
      <c r="F55" s="1">
        <v>34</v>
      </c>
      <c r="G55" s="1" t="s">
        <v>227</v>
      </c>
      <c r="H55" s="1" t="s">
        <v>228</v>
      </c>
      <c r="I55" s="1">
        <f t="shared" si="0"/>
        <v>0</v>
      </c>
      <c r="J55" s="1">
        <f t="shared" si="1"/>
        <v>1</v>
      </c>
      <c r="K55" s="1">
        <f t="shared" si="2"/>
        <v>0</v>
      </c>
      <c r="L55" s="1">
        <f t="shared" si="3"/>
        <v>0</v>
      </c>
      <c r="M55" s="1" t="str">
        <f t="shared" si="4"/>
        <v>有用信息</v>
      </c>
    </row>
    <row r="56" spans="1:13" x14ac:dyDescent="0.2">
      <c r="A56" s="1" t="s">
        <v>229</v>
      </c>
      <c r="B56" s="2">
        <v>46086</v>
      </c>
      <c r="C56" s="1" t="s">
        <v>230</v>
      </c>
      <c r="D56" s="1">
        <v>326</v>
      </c>
      <c r="E56" s="1">
        <v>38</v>
      </c>
      <c r="F56" s="1">
        <v>21</v>
      </c>
      <c r="G56" s="1" t="s">
        <v>231</v>
      </c>
      <c r="H56" s="1" t="s">
        <v>232</v>
      </c>
      <c r="I56" s="1">
        <f t="shared" si="0"/>
        <v>0</v>
      </c>
      <c r="J56" s="1">
        <f t="shared" si="1"/>
        <v>1</v>
      </c>
      <c r="K56" s="1">
        <f t="shared" si="2"/>
        <v>0</v>
      </c>
      <c r="L56" s="1">
        <f t="shared" si="3"/>
        <v>0</v>
      </c>
      <c r="M56" s="1" t="str">
        <f t="shared" si="4"/>
        <v>有用信息</v>
      </c>
    </row>
    <row r="57" spans="1:13" x14ac:dyDescent="0.2">
      <c r="A57" s="1" t="s">
        <v>233</v>
      </c>
      <c r="B57" s="2">
        <v>46089</v>
      </c>
      <c r="C57" s="1" t="s">
        <v>234</v>
      </c>
      <c r="D57" s="1">
        <v>215</v>
      </c>
      <c r="E57" s="1">
        <v>58</v>
      </c>
      <c r="F57" s="1">
        <v>15</v>
      </c>
      <c r="G57" s="1" t="s">
        <v>235</v>
      </c>
      <c r="H57" s="1" t="s">
        <v>236</v>
      </c>
      <c r="I57" s="1">
        <f t="shared" si="0"/>
        <v>1</v>
      </c>
      <c r="J57" s="1">
        <f t="shared" si="1"/>
        <v>0</v>
      </c>
      <c r="K57" s="1">
        <f t="shared" si="2"/>
        <v>0</v>
      </c>
      <c r="L57" s="1">
        <f t="shared" si="3"/>
        <v>0</v>
      </c>
      <c r="M57" s="1" t="str">
        <f t="shared" si="4"/>
        <v>有用信息</v>
      </c>
    </row>
    <row r="58" spans="1:13" x14ac:dyDescent="0.2">
      <c r="A58" s="1" t="s">
        <v>237</v>
      </c>
      <c r="B58" s="2">
        <v>46094</v>
      </c>
      <c r="C58" s="1" t="s">
        <v>238</v>
      </c>
      <c r="D58" s="1">
        <v>453</v>
      </c>
      <c r="E58" s="1">
        <v>42</v>
      </c>
      <c r="F58" s="1">
        <v>29</v>
      </c>
      <c r="G58" s="1" t="s">
        <v>239</v>
      </c>
      <c r="H58" s="1" t="s">
        <v>240</v>
      </c>
      <c r="I58" s="1">
        <f t="shared" si="0"/>
        <v>0</v>
      </c>
      <c r="J58" s="1">
        <f t="shared" si="1"/>
        <v>1</v>
      </c>
      <c r="K58" s="1">
        <f t="shared" si="2"/>
        <v>0</v>
      </c>
      <c r="L58" s="1">
        <f t="shared" si="3"/>
        <v>0</v>
      </c>
      <c r="M58" s="1" t="str">
        <f t="shared" si="4"/>
        <v>有用信息</v>
      </c>
    </row>
    <row r="59" spans="1:13" x14ac:dyDescent="0.2">
      <c r="A59" s="1" t="s">
        <v>241</v>
      </c>
      <c r="B59" s="2">
        <v>46092</v>
      </c>
      <c r="C59" s="1" t="s">
        <v>242</v>
      </c>
      <c r="D59" s="1">
        <v>311</v>
      </c>
      <c r="E59" s="1">
        <v>36</v>
      </c>
      <c r="F59" s="1">
        <v>19</v>
      </c>
      <c r="G59" s="1" t="s">
        <v>243</v>
      </c>
      <c r="H59" s="1" t="s">
        <v>244</v>
      </c>
      <c r="I59" s="1">
        <f t="shared" si="0"/>
        <v>0</v>
      </c>
      <c r="J59" s="1">
        <f t="shared" si="1"/>
        <v>1</v>
      </c>
      <c r="K59" s="1">
        <f t="shared" si="2"/>
        <v>0</v>
      </c>
      <c r="L59" s="1">
        <f t="shared" si="3"/>
        <v>0</v>
      </c>
      <c r="M59" s="1" t="str">
        <f t="shared" si="4"/>
        <v>有用信息</v>
      </c>
    </row>
    <row r="60" spans="1:13" x14ac:dyDescent="0.2">
      <c r="A60" s="1" t="s">
        <v>245</v>
      </c>
      <c r="B60" s="2">
        <v>46088</v>
      </c>
      <c r="C60" s="1" t="s">
        <v>246</v>
      </c>
      <c r="D60" s="1">
        <v>289</v>
      </c>
      <c r="E60" s="1">
        <v>31</v>
      </c>
      <c r="F60" s="1">
        <v>17</v>
      </c>
      <c r="G60" s="1" t="s">
        <v>247</v>
      </c>
      <c r="H60" s="1" t="s">
        <v>248</v>
      </c>
      <c r="I60" s="1">
        <f t="shared" si="0"/>
        <v>1</v>
      </c>
      <c r="J60" s="1">
        <f t="shared" si="1"/>
        <v>0</v>
      </c>
      <c r="K60" s="1">
        <f t="shared" si="2"/>
        <v>0</v>
      </c>
      <c r="L60" s="1">
        <f t="shared" si="3"/>
        <v>0</v>
      </c>
      <c r="M60" s="1" t="str">
        <f t="shared" si="4"/>
        <v>有用信息</v>
      </c>
    </row>
    <row r="61" spans="1:13" x14ac:dyDescent="0.2">
      <c r="A61" s="1" t="s">
        <v>249</v>
      </c>
      <c r="B61" s="2">
        <v>46091</v>
      </c>
      <c r="C61" s="1" t="s">
        <v>250</v>
      </c>
      <c r="D61" s="1">
        <v>267</v>
      </c>
      <c r="E61" s="1">
        <v>28</v>
      </c>
      <c r="F61" s="1">
        <v>14</v>
      </c>
      <c r="G61" s="1" t="s">
        <v>251</v>
      </c>
      <c r="H61" s="1" t="s">
        <v>252</v>
      </c>
      <c r="I61" s="1">
        <f t="shared" si="0"/>
        <v>0</v>
      </c>
      <c r="J61" s="1">
        <f t="shared" si="1"/>
        <v>1</v>
      </c>
      <c r="K61" s="1">
        <f t="shared" si="2"/>
        <v>0</v>
      </c>
      <c r="L61" s="1">
        <f t="shared" si="3"/>
        <v>0</v>
      </c>
      <c r="M61" s="1" t="str">
        <f t="shared" si="4"/>
        <v>有用信息</v>
      </c>
    </row>
    <row r="62" spans="1:13" x14ac:dyDescent="0.2">
      <c r="A62" s="1" t="s">
        <v>253</v>
      </c>
      <c r="B62" s="2">
        <v>46093</v>
      </c>
      <c r="C62" s="1" t="s">
        <v>254</v>
      </c>
      <c r="D62" s="1">
        <v>401</v>
      </c>
      <c r="E62" s="1">
        <v>87</v>
      </c>
      <c r="F62" s="1">
        <v>35</v>
      </c>
      <c r="G62" s="1" t="s">
        <v>255</v>
      </c>
      <c r="H62" s="1" t="s">
        <v>256</v>
      </c>
      <c r="I62" s="1">
        <f t="shared" si="0"/>
        <v>1</v>
      </c>
      <c r="J62" s="1">
        <f t="shared" si="1"/>
        <v>0</v>
      </c>
      <c r="K62" s="1">
        <f t="shared" si="2"/>
        <v>0</v>
      </c>
      <c r="L62" s="1">
        <f t="shared" si="3"/>
        <v>0</v>
      </c>
      <c r="M62" s="1" t="str">
        <f t="shared" si="4"/>
        <v>有用信息</v>
      </c>
    </row>
    <row r="63" spans="1:13" x14ac:dyDescent="0.2">
      <c r="A63" s="1" t="s">
        <v>257</v>
      </c>
      <c r="B63" s="2">
        <v>46085</v>
      </c>
      <c r="C63" s="1" t="s">
        <v>258</v>
      </c>
      <c r="D63" s="1">
        <v>194</v>
      </c>
      <c r="E63" s="1">
        <v>44</v>
      </c>
      <c r="F63" s="1">
        <v>12</v>
      </c>
      <c r="G63" s="1" t="s">
        <v>259</v>
      </c>
      <c r="H63" s="1" t="s">
        <v>260</v>
      </c>
      <c r="I63" s="1">
        <f t="shared" si="0"/>
        <v>0</v>
      </c>
      <c r="J63" s="1">
        <f t="shared" si="1"/>
        <v>1</v>
      </c>
      <c r="K63" s="1">
        <f t="shared" si="2"/>
        <v>0</v>
      </c>
      <c r="L63" s="1">
        <f t="shared" si="3"/>
        <v>0</v>
      </c>
      <c r="M63" s="1" t="str">
        <f t="shared" si="4"/>
        <v>有用信息</v>
      </c>
    </row>
    <row r="64" spans="1:13" x14ac:dyDescent="0.2">
      <c r="A64" s="1" t="s">
        <v>261</v>
      </c>
      <c r="B64" s="2">
        <v>46090</v>
      </c>
      <c r="C64" s="1" t="s">
        <v>262</v>
      </c>
      <c r="D64" s="1">
        <v>209</v>
      </c>
      <c r="E64" s="1">
        <v>22</v>
      </c>
      <c r="F64" s="1">
        <v>13</v>
      </c>
      <c r="G64" s="1" t="s">
        <v>263</v>
      </c>
      <c r="H64" s="1" t="s">
        <v>264</v>
      </c>
      <c r="I64" s="1">
        <f t="shared" si="0"/>
        <v>1</v>
      </c>
      <c r="J64" s="1">
        <f t="shared" si="1"/>
        <v>0</v>
      </c>
      <c r="K64" s="1">
        <f t="shared" si="2"/>
        <v>0</v>
      </c>
      <c r="L64" s="1">
        <f t="shared" si="3"/>
        <v>0</v>
      </c>
      <c r="M64" s="1" t="str">
        <f t="shared" si="4"/>
        <v>有用信息</v>
      </c>
    </row>
    <row r="65" spans="1:13" x14ac:dyDescent="0.2">
      <c r="A65" s="1" t="s">
        <v>265</v>
      </c>
      <c r="B65" s="2">
        <v>46092</v>
      </c>
      <c r="C65" s="1" t="s">
        <v>266</v>
      </c>
      <c r="D65" s="1">
        <v>378</v>
      </c>
      <c r="E65" s="1">
        <v>52</v>
      </c>
      <c r="F65" s="1">
        <v>26</v>
      </c>
      <c r="G65" s="1" t="s">
        <v>267</v>
      </c>
      <c r="H65" s="1" t="s">
        <v>268</v>
      </c>
      <c r="I65" s="1">
        <f t="shared" si="0"/>
        <v>0</v>
      </c>
      <c r="J65" s="1">
        <f t="shared" si="1"/>
        <v>1</v>
      </c>
      <c r="K65" s="1">
        <f t="shared" si="2"/>
        <v>0</v>
      </c>
      <c r="L65" s="1">
        <f t="shared" si="3"/>
        <v>0</v>
      </c>
      <c r="M65" s="1" t="str">
        <f t="shared" si="4"/>
        <v>有用信息</v>
      </c>
    </row>
    <row r="66" spans="1:13" x14ac:dyDescent="0.2">
      <c r="A66" s="1" t="s">
        <v>269</v>
      </c>
      <c r="B66" s="2">
        <v>46089</v>
      </c>
      <c r="C66" s="1" t="s">
        <v>270</v>
      </c>
      <c r="D66" s="1">
        <v>334</v>
      </c>
      <c r="E66" s="1">
        <v>30</v>
      </c>
      <c r="F66" s="1">
        <v>18</v>
      </c>
      <c r="G66" s="1" t="s">
        <v>271</v>
      </c>
      <c r="H66" s="1" t="s">
        <v>272</v>
      </c>
      <c r="I66" s="1">
        <f t="shared" si="0"/>
        <v>0</v>
      </c>
      <c r="J66" s="1">
        <f t="shared" si="1"/>
        <v>1</v>
      </c>
      <c r="K66" s="1">
        <f t="shared" si="2"/>
        <v>0</v>
      </c>
      <c r="L66" s="1">
        <f t="shared" si="3"/>
        <v>0</v>
      </c>
      <c r="M66" s="1" t="str">
        <f t="shared" si="4"/>
        <v>有用信息</v>
      </c>
    </row>
    <row r="67" spans="1:13" x14ac:dyDescent="0.2">
      <c r="A67" s="1" t="s">
        <v>273</v>
      </c>
      <c r="B67" s="2">
        <v>46087</v>
      </c>
      <c r="C67" s="1" t="s">
        <v>274</v>
      </c>
      <c r="D67" s="1">
        <v>226</v>
      </c>
      <c r="E67" s="1">
        <v>27</v>
      </c>
      <c r="F67" s="1">
        <v>12</v>
      </c>
      <c r="G67" s="1" t="s">
        <v>275</v>
      </c>
      <c r="H67" s="1" t="s">
        <v>276</v>
      </c>
      <c r="I67" s="1">
        <f t="shared" ref="I67:I130" si="5">--ISNUMBER(SEARCH("间歇跑",$A67))</f>
        <v>1</v>
      </c>
      <c r="J67" s="1">
        <f t="shared" ref="J67:J130" si="6">--ISNUMBER(SEARCH("LSD",$A67))</f>
        <v>0</v>
      </c>
      <c r="K67" s="1">
        <f t="shared" ref="K67:K130" si="7">--OR(ISNUMBER(SEARCH("节奏",$A67)),ISNUMBER(SEARCH("阈",$A67)))</f>
        <v>0</v>
      </c>
      <c r="L67" s="1">
        <f t="shared" ref="L67:L130" si="8">--ISNUMBER(SEARCH("力量",$A67))</f>
        <v>0</v>
      </c>
      <c r="M67" s="1" t="str">
        <f t="shared" ref="M67:M130" si="9">IF(AND(I67=0,J67=0,K67=0,L67=0),"无用信息","有用信息")</f>
        <v>有用信息</v>
      </c>
    </row>
    <row r="68" spans="1:13" x14ac:dyDescent="0.2">
      <c r="A68" s="1" t="s">
        <v>277</v>
      </c>
      <c r="B68" s="2">
        <v>46091</v>
      </c>
      <c r="C68" s="1" t="s">
        <v>278</v>
      </c>
      <c r="D68" s="1">
        <v>347</v>
      </c>
      <c r="E68" s="1">
        <v>39</v>
      </c>
      <c r="F68" s="1">
        <v>22</v>
      </c>
      <c r="G68" s="1" t="s">
        <v>279</v>
      </c>
      <c r="H68" s="1" t="s">
        <v>280</v>
      </c>
      <c r="I68" s="1">
        <f t="shared" si="5"/>
        <v>0</v>
      </c>
      <c r="J68" s="1">
        <f t="shared" si="6"/>
        <v>1</v>
      </c>
      <c r="K68" s="1">
        <f t="shared" si="7"/>
        <v>0</v>
      </c>
      <c r="L68" s="1">
        <f t="shared" si="8"/>
        <v>0</v>
      </c>
      <c r="M68" s="1" t="str">
        <f t="shared" si="9"/>
        <v>有用信息</v>
      </c>
    </row>
    <row r="69" spans="1:13" x14ac:dyDescent="0.2">
      <c r="A69" s="1" t="s">
        <v>281</v>
      </c>
      <c r="B69" s="2">
        <v>46094</v>
      </c>
      <c r="C69" s="1" t="s">
        <v>282</v>
      </c>
      <c r="D69" s="1">
        <v>504</v>
      </c>
      <c r="E69" s="1">
        <v>61</v>
      </c>
      <c r="F69" s="1">
        <v>41</v>
      </c>
      <c r="G69" s="1" t="s">
        <v>283</v>
      </c>
      <c r="H69" s="1" t="s">
        <v>284</v>
      </c>
      <c r="I69" s="1">
        <f t="shared" si="5"/>
        <v>0</v>
      </c>
      <c r="J69" s="1">
        <f t="shared" si="6"/>
        <v>1</v>
      </c>
      <c r="K69" s="1">
        <f t="shared" si="7"/>
        <v>1</v>
      </c>
      <c r="L69" s="1">
        <f t="shared" si="8"/>
        <v>0</v>
      </c>
      <c r="M69" s="1" t="str">
        <f t="shared" si="9"/>
        <v>有用信息</v>
      </c>
    </row>
    <row r="70" spans="1:13" x14ac:dyDescent="0.2">
      <c r="A70" s="1" t="s">
        <v>285</v>
      </c>
      <c r="B70" s="2">
        <v>46088</v>
      </c>
      <c r="C70" s="1" t="s">
        <v>286</v>
      </c>
      <c r="D70" s="1">
        <v>218</v>
      </c>
      <c r="E70" s="1">
        <v>29</v>
      </c>
      <c r="F70" s="1">
        <v>14</v>
      </c>
      <c r="G70" s="1" t="s">
        <v>287</v>
      </c>
      <c r="H70" s="1" t="s">
        <v>288</v>
      </c>
      <c r="I70" s="1">
        <f t="shared" si="5"/>
        <v>0</v>
      </c>
      <c r="J70" s="1">
        <f t="shared" si="6"/>
        <v>0</v>
      </c>
      <c r="K70" s="1">
        <f t="shared" si="7"/>
        <v>1</v>
      </c>
      <c r="L70" s="1">
        <f t="shared" si="8"/>
        <v>0</v>
      </c>
      <c r="M70" s="1" t="str">
        <f t="shared" si="9"/>
        <v>有用信息</v>
      </c>
    </row>
    <row r="71" spans="1:13" x14ac:dyDescent="0.2">
      <c r="A71" s="1" t="s">
        <v>289</v>
      </c>
      <c r="B71" s="2">
        <v>46086</v>
      </c>
      <c r="C71" s="1" t="s">
        <v>290</v>
      </c>
      <c r="D71" s="1">
        <v>256</v>
      </c>
      <c r="E71" s="1">
        <v>24</v>
      </c>
      <c r="F71" s="1">
        <v>15</v>
      </c>
      <c r="G71" s="1" t="s">
        <v>291</v>
      </c>
      <c r="H71" s="1" t="s">
        <v>292</v>
      </c>
      <c r="I71" s="1">
        <f t="shared" si="5"/>
        <v>0</v>
      </c>
      <c r="J71" s="1">
        <f t="shared" si="6"/>
        <v>1</v>
      </c>
      <c r="K71" s="1">
        <f t="shared" si="7"/>
        <v>0</v>
      </c>
      <c r="L71" s="1">
        <f t="shared" si="8"/>
        <v>0</v>
      </c>
      <c r="M71" s="1" t="str">
        <f t="shared" si="9"/>
        <v>有用信息</v>
      </c>
    </row>
    <row r="72" spans="1:13" x14ac:dyDescent="0.2">
      <c r="A72" s="1" t="s">
        <v>293</v>
      </c>
      <c r="B72" s="2">
        <v>46092</v>
      </c>
      <c r="C72" s="1" t="s">
        <v>294</v>
      </c>
      <c r="D72" s="1">
        <v>459</v>
      </c>
      <c r="E72" s="1">
        <v>48</v>
      </c>
      <c r="F72" s="1">
        <v>33</v>
      </c>
      <c r="G72" s="1" t="s">
        <v>295</v>
      </c>
      <c r="H72" s="1" t="s">
        <v>296</v>
      </c>
      <c r="I72" s="1">
        <f t="shared" si="5"/>
        <v>1</v>
      </c>
      <c r="J72" s="1">
        <f t="shared" si="6"/>
        <v>0</v>
      </c>
      <c r="K72" s="1">
        <f t="shared" si="7"/>
        <v>0</v>
      </c>
      <c r="L72" s="1">
        <f t="shared" si="8"/>
        <v>0</v>
      </c>
      <c r="M72" s="1" t="str">
        <f t="shared" si="9"/>
        <v>有用信息</v>
      </c>
    </row>
    <row r="73" spans="1:13" x14ac:dyDescent="0.2">
      <c r="A73" s="1" t="s">
        <v>297</v>
      </c>
      <c r="B73" s="2">
        <v>46090</v>
      </c>
      <c r="C73" s="1" t="s">
        <v>298</v>
      </c>
      <c r="D73" s="1">
        <v>301</v>
      </c>
      <c r="E73" s="1">
        <v>27</v>
      </c>
      <c r="F73" s="1">
        <v>16</v>
      </c>
      <c r="G73" s="1" t="s">
        <v>299</v>
      </c>
      <c r="H73" s="1" t="s">
        <v>300</v>
      </c>
      <c r="I73" s="1">
        <f t="shared" si="5"/>
        <v>0</v>
      </c>
      <c r="J73" s="1">
        <f t="shared" si="6"/>
        <v>1</v>
      </c>
      <c r="K73" s="1">
        <f t="shared" si="7"/>
        <v>0</v>
      </c>
      <c r="L73" s="1">
        <f t="shared" si="8"/>
        <v>0</v>
      </c>
      <c r="M73" s="1" t="str">
        <f t="shared" si="9"/>
        <v>有用信息</v>
      </c>
    </row>
    <row r="74" spans="1:13" x14ac:dyDescent="0.2">
      <c r="A74" s="1" t="s">
        <v>301</v>
      </c>
      <c r="B74" s="2">
        <v>46093</v>
      </c>
      <c r="C74" s="1" t="s">
        <v>18</v>
      </c>
      <c r="D74" s="1">
        <v>378</v>
      </c>
      <c r="E74" s="1">
        <v>45</v>
      </c>
      <c r="F74" s="1">
        <v>24</v>
      </c>
      <c r="G74" s="1" t="s">
        <v>302</v>
      </c>
      <c r="H74" s="1" t="s">
        <v>303</v>
      </c>
      <c r="I74" s="1">
        <f t="shared" si="5"/>
        <v>1</v>
      </c>
      <c r="J74" s="1">
        <f t="shared" si="6"/>
        <v>0</v>
      </c>
      <c r="K74" s="1">
        <f t="shared" si="7"/>
        <v>0</v>
      </c>
      <c r="L74" s="1">
        <f t="shared" si="8"/>
        <v>1</v>
      </c>
      <c r="M74" s="1" t="str">
        <f t="shared" si="9"/>
        <v>有用信息</v>
      </c>
    </row>
    <row r="75" spans="1:13" x14ac:dyDescent="0.2">
      <c r="A75" s="1" t="s">
        <v>304</v>
      </c>
      <c r="B75" s="2">
        <v>46091</v>
      </c>
      <c r="C75" s="1" t="s">
        <v>14</v>
      </c>
      <c r="D75" s="1">
        <v>892</v>
      </c>
      <c r="E75" s="1">
        <v>103</v>
      </c>
      <c r="F75" s="1">
        <v>78</v>
      </c>
      <c r="G75" s="1" t="s">
        <v>305</v>
      </c>
      <c r="H75" s="1" t="s">
        <v>306</v>
      </c>
      <c r="I75" s="1">
        <f t="shared" si="5"/>
        <v>0</v>
      </c>
      <c r="J75" s="1">
        <f t="shared" si="6"/>
        <v>1</v>
      </c>
      <c r="K75" s="1">
        <f t="shared" si="7"/>
        <v>0</v>
      </c>
      <c r="L75" s="1">
        <f t="shared" si="8"/>
        <v>0</v>
      </c>
      <c r="M75" s="1" t="str">
        <f t="shared" si="9"/>
        <v>有用信息</v>
      </c>
    </row>
    <row r="76" spans="1:13" x14ac:dyDescent="0.2">
      <c r="A76" s="1" t="s">
        <v>307</v>
      </c>
      <c r="B76" s="2">
        <v>46089</v>
      </c>
      <c r="C76" s="1" t="s">
        <v>26</v>
      </c>
      <c r="D76" s="1">
        <v>612</v>
      </c>
      <c r="E76" s="1">
        <v>58</v>
      </c>
      <c r="F76" s="1">
        <v>42</v>
      </c>
      <c r="G76" s="1" t="s">
        <v>308</v>
      </c>
      <c r="H76" s="1" t="s">
        <v>309</v>
      </c>
      <c r="I76" s="1">
        <f t="shared" si="5"/>
        <v>0</v>
      </c>
      <c r="J76" s="1">
        <f t="shared" si="6"/>
        <v>1</v>
      </c>
      <c r="K76" s="1">
        <f t="shared" si="7"/>
        <v>0</v>
      </c>
      <c r="L76" s="1">
        <f t="shared" si="8"/>
        <v>0</v>
      </c>
      <c r="M76" s="1" t="str">
        <f t="shared" si="9"/>
        <v>有用信息</v>
      </c>
    </row>
    <row r="77" spans="1:13" x14ac:dyDescent="0.2">
      <c r="A77" s="1" t="s">
        <v>310</v>
      </c>
      <c r="B77" s="2">
        <v>46087</v>
      </c>
      <c r="C77" s="1" t="s">
        <v>22</v>
      </c>
      <c r="D77" s="1">
        <v>432</v>
      </c>
      <c r="E77" s="1">
        <v>51</v>
      </c>
      <c r="F77" s="1">
        <v>31</v>
      </c>
      <c r="G77" s="1" t="s">
        <v>311</v>
      </c>
      <c r="H77" s="1" t="s">
        <v>312</v>
      </c>
      <c r="I77" s="1">
        <f t="shared" si="5"/>
        <v>1</v>
      </c>
      <c r="J77" s="1">
        <f t="shared" si="6"/>
        <v>1</v>
      </c>
      <c r="K77" s="1">
        <f t="shared" si="7"/>
        <v>0</v>
      </c>
      <c r="L77" s="1">
        <f t="shared" si="8"/>
        <v>0</v>
      </c>
      <c r="M77" s="1" t="str">
        <f t="shared" si="9"/>
        <v>有用信息</v>
      </c>
    </row>
    <row r="78" spans="1:13" x14ac:dyDescent="0.2">
      <c r="A78" s="1" t="s">
        <v>313</v>
      </c>
      <c r="B78" s="2">
        <v>46092</v>
      </c>
      <c r="C78" s="1" t="s">
        <v>30</v>
      </c>
      <c r="D78" s="1">
        <v>388</v>
      </c>
      <c r="E78" s="1">
        <v>76</v>
      </c>
      <c r="F78" s="1">
        <v>28</v>
      </c>
      <c r="G78" s="1" t="s">
        <v>314</v>
      </c>
      <c r="H78" s="1" t="s">
        <v>315</v>
      </c>
      <c r="I78" s="1">
        <f t="shared" si="5"/>
        <v>0</v>
      </c>
      <c r="J78" s="1">
        <f t="shared" si="6"/>
        <v>0</v>
      </c>
      <c r="K78" s="1">
        <f t="shared" si="7"/>
        <v>0</v>
      </c>
      <c r="L78" s="1">
        <f t="shared" si="8"/>
        <v>0</v>
      </c>
      <c r="M78" s="1" t="str">
        <f t="shared" si="9"/>
        <v>无用信息</v>
      </c>
    </row>
    <row r="79" spans="1:13" x14ac:dyDescent="0.2">
      <c r="A79" s="1" t="s">
        <v>316</v>
      </c>
      <c r="B79" s="2">
        <v>46088</v>
      </c>
      <c r="C79" s="1" t="s">
        <v>34</v>
      </c>
      <c r="D79" s="1">
        <v>567</v>
      </c>
      <c r="E79" s="1">
        <v>48</v>
      </c>
      <c r="F79" s="1">
        <v>39</v>
      </c>
      <c r="G79" s="1" t="s">
        <v>317</v>
      </c>
      <c r="H79" s="1" t="s">
        <v>318</v>
      </c>
      <c r="I79" s="1">
        <f t="shared" si="5"/>
        <v>0</v>
      </c>
      <c r="J79" s="1">
        <f t="shared" si="6"/>
        <v>0</v>
      </c>
      <c r="K79" s="1">
        <f t="shared" si="7"/>
        <v>0</v>
      </c>
      <c r="L79" s="1">
        <f t="shared" si="8"/>
        <v>0</v>
      </c>
      <c r="M79" s="1" t="str">
        <f t="shared" si="9"/>
        <v>无用信息</v>
      </c>
    </row>
    <row r="80" spans="1:13" x14ac:dyDescent="0.2">
      <c r="A80" s="1" t="s">
        <v>319</v>
      </c>
      <c r="B80" s="2">
        <v>46090</v>
      </c>
      <c r="C80" s="1" t="s">
        <v>38</v>
      </c>
      <c r="D80" s="1">
        <v>344</v>
      </c>
      <c r="E80" s="1">
        <v>31</v>
      </c>
      <c r="F80" s="1">
        <v>20</v>
      </c>
      <c r="G80" s="1" t="s">
        <v>320</v>
      </c>
      <c r="H80" s="1" t="s">
        <v>321</v>
      </c>
      <c r="I80" s="1">
        <f t="shared" si="5"/>
        <v>0</v>
      </c>
      <c r="J80" s="1">
        <f t="shared" si="6"/>
        <v>1</v>
      </c>
      <c r="K80" s="1">
        <f t="shared" si="7"/>
        <v>0</v>
      </c>
      <c r="L80" s="1">
        <f t="shared" si="8"/>
        <v>0</v>
      </c>
      <c r="M80" s="1" t="str">
        <f t="shared" si="9"/>
        <v>有用信息</v>
      </c>
    </row>
    <row r="81" spans="1:13" x14ac:dyDescent="0.2">
      <c r="A81" s="1" t="s">
        <v>322</v>
      </c>
      <c r="B81" s="2">
        <v>46094</v>
      </c>
      <c r="C81" s="1" t="s">
        <v>50</v>
      </c>
      <c r="D81" s="1">
        <v>476</v>
      </c>
      <c r="E81" s="1">
        <v>52</v>
      </c>
      <c r="F81" s="1">
        <v>34</v>
      </c>
      <c r="G81" s="1" t="s">
        <v>323</v>
      </c>
      <c r="H81" s="1" t="s">
        <v>324</v>
      </c>
      <c r="I81" s="1">
        <f t="shared" si="5"/>
        <v>0</v>
      </c>
      <c r="J81" s="1">
        <f t="shared" si="6"/>
        <v>1</v>
      </c>
      <c r="K81" s="1">
        <f t="shared" si="7"/>
        <v>0</v>
      </c>
      <c r="L81" s="1">
        <f t="shared" si="8"/>
        <v>0</v>
      </c>
      <c r="M81" s="1" t="str">
        <f t="shared" si="9"/>
        <v>有用信息</v>
      </c>
    </row>
    <row r="82" spans="1:13" x14ac:dyDescent="0.2">
      <c r="A82" s="1" t="s">
        <v>325</v>
      </c>
      <c r="B82" s="2">
        <v>46086</v>
      </c>
      <c r="C82" s="1" t="s">
        <v>46</v>
      </c>
      <c r="D82" s="1">
        <v>398</v>
      </c>
      <c r="E82" s="1">
        <v>29</v>
      </c>
      <c r="F82" s="1">
        <v>21</v>
      </c>
      <c r="G82" s="1" t="s">
        <v>326</v>
      </c>
      <c r="H82" s="1" t="s">
        <v>327</v>
      </c>
      <c r="I82" s="1">
        <f t="shared" si="5"/>
        <v>1</v>
      </c>
      <c r="J82" s="1">
        <f t="shared" si="6"/>
        <v>0</v>
      </c>
      <c r="K82" s="1">
        <f t="shared" si="7"/>
        <v>0</v>
      </c>
      <c r="L82" s="1">
        <f t="shared" si="8"/>
        <v>0</v>
      </c>
      <c r="M82" s="1" t="str">
        <f t="shared" si="9"/>
        <v>有用信息</v>
      </c>
    </row>
    <row r="83" spans="1:13" x14ac:dyDescent="0.2">
      <c r="A83" s="1" t="s">
        <v>328</v>
      </c>
      <c r="B83" s="2">
        <v>46091</v>
      </c>
      <c r="C83" s="1" t="s">
        <v>54</v>
      </c>
      <c r="D83" s="1">
        <v>412</v>
      </c>
      <c r="E83" s="1">
        <v>44</v>
      </c>
      <c r="F83" s="1">
        <v>27</v>
      </c>
      <c r="G83" s="1" t="s">
        <v>329</v>
      </c>
      <c r="H83" s="1" t="s">
        <v>330</v>
      </c>
      <c r="I83" s="1">
        <f t="shared" si="5"/>
        <v>0</v>
      </c>
      <c r="J83" s="1">
        <f t="shared" si="6"/>
        <v>1</v>
      </c>
      <c r="K83" s="1">
        <f t="shared" si="7"/>
        <v>0</v>
      </c>
      <c r="L83" s="1">
        <f t="shared" si="8"/>
        <v>0</v>
      </c>
      <c r="M83" s="1" t="str">
        <f t="shared" si="9"/>
        <v>有用信息</v>
      </c>
    </row>
    <row r="84" spans="1:13" x14ac:dyDescent="0.2">
      <c r="A84" s="1" t="s">
        <v>331</v>
      </c>
      <c r="B84" s="2">
        <v>46089</v>
      </c>
      <c r="C84" s="1" t="s">
        <v>58</v>
      </c>
      <c r="D84" s="1">
        <v>289</v>
      </c>
      <c r="E84" s="1">
        <v>35</v>
      </c>
      <c r="F84" s="1">
        <v>18</v>
      </c>
      <c r="G84" s="1" t="s">
        <v>332</v>
      </c>
      <c r="H84" s="1" t="s">
        <v>333</v>
      </c>
      <c r="I84" s="1">
        <f t="shared" si="5"/>
        <v>1</v>
      </c>
      <c r="J84" s="1">
        <f t="shared" si="6"/>
        <v>0</v>
      </c>
      <c r="K84" s="1">
        <f t="shared" si="7"/>
        <v>0</v>
      </c>
      <c r="L84" s="1">
        <f t="shared" si="8"/>
        <v>0</v>
      </c>
      <c r="M84" s="1" t="str">
        <f t="shared" si="9"/>
        <v>有用信息</v>
      </c>
    </row>
    <row r="85" spans="1:13" x14ac:dyDescent="0.2">
      <c r="A85" s="1" t="s">
        <v>334</v>
      </c>
      <c r="B85" s="2">
        <v>46093</v>
      </c>
      <c r="C85" s="1" t="s">
        <v>62</v>
      </c>
      <c r="D85" s="1">
        <v>623</v>
      </c>
      <c r="E85" s="1">
        <v>71</v>
      </c>
      <c r="F85" s="1">
        <v>53</v>
      </c>
      <c r="G85" s="1" t="s">
        <v>335</v>
      </c>
      <c r="H85" s="1" t="s">
        <v>336</v>
      </c>
      <c r="I85" s="1">
        <f t="shared" si="5"/>
        <v>1</v>
      </c>
      <c r="J85" s="1">
        <f t="shared" si="6"/>
        <v>0</v>
      </c>
      <c r="K85" s="1">
        <f t="shared" si="7"/>
        <v>0</v>
      </c>
      <c r="L85" s="1">
        <f t="shared" si="8"/>
        <v>0</v>
      </c>
      <c r="M85" s="1" t="str">
        <f t="shared" si="9"/>
        <v>有用信息</v>
      </c>
    </row>
    <row r="86" spans="1:13" x14ac:dyDescent="0.2">
      <c r="A86" s="1" t="s">
        <v>337</v>
      </c>
      <c r="B86" s="2">
        <v>46087</v>
      </c>
      <c r="C86" s="1" t="s">
        <v>66</v>
      </c>
      <c r="D86" s="1">
        <v>267</v>
      </c>
      <c r="E86" s="1">
        <v>58</v>
      </c>
      <c r="F86" s="1">
        <v>19</v>
      </c>
      <c r="G86" s="1" t="s">
        <v>338</v>
      </c>
      <c r="H86" s="1" t="s">
        <v>339</v>
      </c>
      <c r="I86" s="1">
        <f t="shared" si="5"/>
        <v>0</v>
      </c>
      <c r="J86" s="1">
        <f t="shared" si="6"/>
        <v>1</v>
      </c>
      <c r="K86" s="1">
        <f t="shared" si="7"/>
        <v>0</v>
      </c>
      <c r="L86" s="1">
        <f t="shared" si="8"/>
        <v>0</v>
      </c>
      <c r="M86" s="1" t="str">
        <f t="shared" si="9"/>
        <v>有用信息</v>
      </c>
    </row>
    <row r="87" spans="1:13" x14ac:dyDescent="0.2">
      <c r="A87" s="1" t="s">
        <v>340</v>
      </c>
      <c r="B87" s="2">
        <v>46092</v>
      </c>
      <c r="C87" s="1" t="s">
        <v>70</v>
      </c>
      <c r="D87" s="1">
        <v>508</v>
      </c>
      <c r="E87" s="1">
        <v>49</v>
      </c>
      <c r="F87" s="1">
        <v>38</v>
      </c>
      <c r="G87" s="1" t="s">
        <v>341</v>
      </c>
      <c r="H87" s="1" t="s">
        <v>342</v>
      </c>
      <c r="I87" s="1">
        <f t="shared" si="5"/>
        <v>1</v>
      </c>
      <c r="J87" s="1">
        <f t="shared" si="6"/>
        <v>1</v>
      </c>
      <c r="K87" s="1">
        <f t="shared" si="7"/>
        <v>0</v>
      </c>
      <c r="L87" s="1">
        <f t="shared" si="8"/>
        <v>0</v>
      </c>
      <c r="M87" s="1" t="str">
        <f t="shared" si="9"/>
        <v>有用信息</v>
      </c>
    </row>
    <row r="88" spans="1:13" x14ac:dyDescent="0.2">
      <c r="A88" s="1" t="s">
        <v>343</v>
      </c>
      <c r="B88" s="2">
        <v>46085</v>
      </c>
      <c r="C88" s="1" t="s">
        <v>82</v>
      </c>
      <c r="D88" s="1">
        <v>334</v>
      </c>
      <c r="E88" s="1">
        <v>62</v>
      </c>
      <c r="F88" s="1">
        <v>24</v>
      </c>
      <c r="G88" s="1" t="s">
        <v>344</v>
      </c>
      <c r="H88" s="1" t="s">
        <v>345</v>
      </c>
      <c r="I88" s="1">
        <f t="shared" si="5"/>
        <v>1</v>
      </c>
      <c r="J88" s="1">
        <f t="shared" si="6"/>
        <v>0</v>
      </c>
      <c r="K88" s="1">
        <f t="shared" si="7"/>
        <v>0</v>
      </c>
      <c r="L88" s="1">
        <f t="shared" si="8"/>
        <v>0</v>
      </c>
      <c r="M88" s="1" t="str">
        <f t="shared" si="9"/>
        <v>有用信息</v>
      </c>
    </row>
    <row r="89" spans="1:13" x14ac:dyDescent="0.2">
      <c r="A89" s="1" t="s">
        <v>346</v>
      </c>
      <c r="B89" s="2">
        <v>46090</v>
      </c>
      <c r="C89" s="1" t="s">
        <v>86</v>
      </c>
      <c r="D89" s="1">
        <v>451</v>
      </c>
      <c r="E89" s="1">
        <v>38</v>
      </c>
      <c r="F89" s="1">
        <v>29</v>
      </c>
      <c r="G89" s="1" t="s">
        <v>347</v>
      </c>
      <c r="H89" s="1" t="s">
        <v>348</v>
      </c>
      <c r="I89" s="1">
        <f t="shared" si="5"/>
        <v>0</v>
      </c>
      <c r="J89" s="1">
        <f t="shared" si="6"/>
        <v>1</v>
      </c>
      <c r="K89" s="1">
        <f t="shared" si="7"/>
        <v>0</v>
      </c>
      <c r="L89" s="1">
        <f t="shared" si="8"/>
        <v>0</v>
      </c>
      <c r="M89" s="1" t="str">
        <f t="shared" si="9"/>
        <v>有用信息</v>
      </c>
    </row>
    <row r="90" spans="1:13" x14ac:dyDescent="0.2">
      <c r="A90" s="1" t="s">
        <v>349</v>
      </c>
      <c r="B90" s="2">
        <v>46088</v>
      </c>
      <c r="C90" s="1" t="s">
        <v>74</v>
      </c>
      <c r="D90" s="1">
        <v>278</v>
      </c>
      <c r="E90" s="1">
        <v>26</v>
      </c>
      <c r="F90" s="1">
        <v>16</v>
      </c>
      <c r="G90" s="1" t="s">
        <v>350</v>
      </c>
      <c r="H90" s="1" t="s">
        <v>351</v>
      </c>
      <c r="I90" s="1">
        <f t="shared" si="5"/>
        <v>1</v>
      </c>
      <c r="J90" s="1">
        <f t="shared" si="6"/>
        <v>0</v>
      </c>
      <c r="K90" s="1">
        <f t="shared" si="7"/>
        <v>0</v>
      </c>
      <c r="L90" s="1">
        <f t="shared" si="8"/>
        <v>0</v>
      </c>
      <c r="M90" s="1" t="str">
        <f t="shared" si="9"/>
        <v>有用信息</v>
      </c>
    </row>
    <row r="91" spans="1:13" x14ac:dyDescent="0.2">
      <c r="A91" s="1" t="s">
        <v>352</v>
      </c>
      <c r="B91" s="2">
        <v>46093</v>
      </c>
      <c r="C91" s="1" t="s">
        <v>78</v>
      </c>
      <c r="D91" s="1">
        <v>392</v>
      </c>
      <c r="E91" s="1">
        <v>48</v>
      </c>
      <c r="F91" s="1">
        <v>27</v>
      </c>
      <c r="G91" s="1" t="s">
        <v>353</v>
      </c>
      <c r="H91" s="1" t="s">
        <v>354</v>
      </c>
      <c r="I91" s="1">
        <f t="shared" si="5"/>
        <v>0</v>
      </c>
      <c r="J91" s="1">
        <f t="shared" si="6"/>
        <v>1</v>
      </c>
      <c r="K91" s="1">
        <f t="shared" si="7"/>
        <v>0</v>
      </c>
      <c r="L91" s="1">
        <f t="shared" si="8"/>
        <v>1</v>
      </c>
      <c r="M91" s="1" t="str">
        <f t="shared" si="9"/>
        <v>有用信息</v>
      </c>
    </row>
    <row r="92" spans="1:13" x14ac:dyDescent="0.2">
      <c r="A92" s="1" t="s">
        <v>355</v>
      </c>
      <c r="B92" s="2">
        <v>46091</v>
      </c>
      <c r="C92" s="1" t="s">
        <v>94</v>
      </c>
      <c r="D92" s="1">
        <v>312</v>
      </c>
      <c r="E92" s="1">
        <v>29</v>
      </c>
      <c r="F92" s="1">
        <v>18</v>
      </c>
      <c r="G92" s="1" t="s">
        <v>356</v>
      </c>
      <c r="H92" s="1" t="s">
        <v>357</v>
      </c>
      <c r="I92" s="1">
        <f t="shared" si="5"/>
        <v>1</v>
      </c>
      <c r="J92" s="1">
        <f t="shared" si="6"/>
        <v>0</v>
      </c>
      <c r="K92" s="1">
        <f t="shared" si="7"/>
        <v>0</v>
      </c>
      <c r="L92" s="1">
        <f t="shared" si="8"/>
        <v>0</v>
      </c>
      <c r="M92" s="1" t="str">
        <f t="shared" si="9"/>
        <v>有用信息</v>
      </c>
    </row>
    <row r="93" spans="1:13" x14ac:dyDescent="0.2">
      <c r="A93" s="1" t="s">
        <v>358</v>
      </c>
      <c r="B93" s="2">
        <v>46089</v>
      </c>
      <c r="C93" s="1" t="s">
        <v>98</v>
      </c>
      <c r="D93" s="1">
        <v>456</v>
      </c>
      <c r="E93" s="1">
        <v>67</v>
      </c>
      <c r="F93" s="1">
        <v>38</v>
      </c>
      <c r="G93" s="1" t="s">
        <v>359</v>
      </c>
      <c r="H93" s="1" t="s">
        <v>360</v>
      </c>
      <c r="I93" s="1">
        <f t="shared" si="5"/>
        <v>0</v>
      </c>
      <c r="J93" s="1">
        <f t="shared" si="6"/>
        <v>1</v>
      </c>
      <c r="K93" s="1">
        <f t="shared" si="7"/>
        <v>0</v>
      </c>
      <c r="L93" s="1">
        <f t="shared" si="8"/>
        <v>0</v>
      </c>
      <c r="M93" s="1" t="str">
        <f t="shared" si="9"/>
        <v>有用信息</v>
      </c>
    </row>
    <row r="94" spans="1:13" x14ac:dyDescent="0.2">
      <c r="A94" s="1" t="s">
        <v>361</v>
      </c>
      <c r="B94" s="2">
        <v>46094</v>
      </c>
      <c r="C94" s="1" t="s">
        <v>102</v>
      </c>
      <c r="D94" s="1">
        <v>417</v>
      </c>
      <c r="E94" s="1">
        <v>44</v>
      </c>
      <c r="F94" s="1">
        <v>31</v>
      </c>
      <c r="G94" s="1" t="s">
        <v>362</v>
      </c>
      <c r="H94" s="1" t="s">
        <v>363</v>
      </c>
      <c r="I94" s="1">
        <f t="shared" si="5"/>
        <v>0</v>
      </c>
      <c r="J94" s="1">
        <f t="shared" si="6"/>
        <v>0</v>
      </c>
      <c r="K94" s="1">
        <f t="shared" si="7"/>
        <v>0</v>
      </c>
      <c r="L94" s="1">
        <f t="shared" si="8"/>
        <v>0</v>
      </c>
      <c r="M94" s="1" t="str">
        <f t="shared" si="9"/>
        <v>无用信息</v>
      </c>
    </row>
    <row r="95" spans="1:13" x14ac:dyDescent="0.2">
      <c r="A95" s="1" t="s">
        <v>364</v>
      </c>
      <c r="B95" s="2">
        <v>46087</v>
      </c>
      <c r="C95" s="1" t="s">
        <v>106</v>
      </c>
      <c r="D95" s="1">
        <v>366</v>
      </c>
      <c r="E95" s="1">
        <v>33</v>
      </c>
      <c r="F95" s="1">
        <v>22</v>
      </c>
      <c r="G95" s="1" t="s">
        <v>365</v>
      </c>
      <c r="H95" s="1" t="s">
        <v>366</v>
      </c>
      <c r="I95" s="1">
        <f t="shared" si="5"/>
        <v>0</v>
      </c>
      <c r="J95" s="1">
        <f t="shared" si="6"/>
        <v>1</v>
      </c>
      <c r="K95" s="1">
        <f t="shared" si="7"/>
        <v>0</v>
      </c>
      <c r="L95" s="1">
        <f t="shared" si="8"/>
        <v>1</v>
      </c>
      <c r="M95" s="1" t="str">
        <f t="shared" si="9"/>
        <v>有用信息</v>
      </c>
    </row>
    <row r="96" spans="1:13" x14ac:dyDescent="0.2">
      <c r="A96" s="1" t="s">
        <v>367</v>
      </c>
      <c r="B96" s="2">
        <v>46092</v>
      </c>
      <c r="C96" s="1" t="s">
        <v>110</v>
      </c>
      <c r="D96" s="1">
        <v>301</v>
      </c>
      <c r="E96" s="1">
        <v>27</v>
      </c>
      <c r="F96" s="1">
        <v>17</v>
      </c>
      <c r="G96" s="1" t="s">
        <v>368</v>
      </c>
      <c r="H96" s="1" t="s">
        <v>369</v>
      </c>
      <c r="I96" s="1">
        <f t="shared" si="5"/>
        <v>1</v>
      </c>
      <c r="J96" s="1">
        <f t="shared" si="6"/>
        <v>0</v>
      </c>
      <c r="K96" s="1">
        <f t="shared" si="7"/>
        <v>0</v>
      </c>
      <c r="L96" s="1">
        <f t="shared" si="8"/>
        <v>0</v>
      </c>
      <c r="M96" s="1" t="str">
        <f t="shared" si="9"/>
        <v>有用信息</v>
      </c>
    </row>
    <row r="97" spans="1:13" x14ac:dyDescent="0.2">
      <c r="A97" s="1" t="s">
        <v>370</v>
      </c>
      <c r="B97" s="2">
        <v>46090</v>
      </c>
      <c r="C97" s="1" t="s">
        <v>114</v>
      </c>
      <c r="D97" s="1">
        <v>289</v>
      </c>
      <c r="E97" s="1">
        <v>39</v>
      </c>
      <c r="F97" s="1">
        <v>20</v>
      </c>
      <c r="G97" s="1" t="s">
        <v>371</v>
      </c>
      <c r="H97" s="1" t="s">
        <v>372</v>
      </c>
      <c r="I97" s="1">
        <f t="shared" si="5"/>
        <v>0</v>
      </c>
      <c r="J97" s="1">
        <f t="shared" si="6"/>
        <v>1</v>
      </c>
      <c r="K97" s="1">
        <f t="shared" si="7"/>
        <v>0</v>
      </c>
      <c r="L97" s="1">
        <f t="shared" si="8"/>
        <v>0</v>
      </c>
      <c r="M97" s="1" t="str">
        <f t="shared" si="9"/>
        <v>有用信息</v>
      </c>
    </row>
    <row r="98" spans="1:13" x14ac:dyDescent="0.2">
      <c r="A98" s="1" t="s">
        <v>373</v>
      </c>
      <c r="B98" s="2">
        <v>46088</v>
      </c>
      <c r="C98" s="1" t="s">
        <v>118</v>
      </c>
      <c r="D98" s="1">
        <v>234</v>
      </c>
      <c r="E98" s="1">
        <v>32</v>
      </c>
      <c r="F98" s="1">
        <v>15</v>
      </c>
      <c r="G98" s="1" t="s">
        <v>374</v>
      </c>
      <c r="H98" s="1" t="s">
        <v>375</v>
      </c>
      <c r="I98" s="1">
        <f t="shared" si="5"/>
        <v>0</v>
      </c>
      <c r="J98" s="1">
        <f t="shared" si="6"/>
        <v>0</v>
      </c>
      <c r="K98" s="1">
        <f t="shared" si="7"/>
        <v>0</v>
      </c>
      <c r="L98" s="1">
        <f t="shared" si="8"/>
        <v>0</v>
      </c>
      <c r="M98" s="1" t="str">
        <f t="shared" si="9"/>
        <v>无用信息</v>
      </c>
    </row>
    <row r="99" spans="1:13" x14ac:dyDescent="0.2">
      <c r="A99" s="1" t="s">
        <v>376</v>
      </c>
      <c r="B99" s="2">
        <v>46093</v>
      </c>
      <c r="C99" s="1" t="s">
        <v>122</v>
      </c>
      <c r="D99" s="1">
        <v>702</v>
      </c>
      <c r="E99" s="1">
        <v>88</v>
      </c>
      <c r="F99" s="1">
        <v>61</v>
      </c>
      <c r="G99" s="1" t="s">
        <v>377</v>
      </c>
      <c r="H99" s="1" t="s">
        <v>378</v>
      </c>
      <c r="I99" s="1">
        <f t="shared" si="5"/>
        <v>0</v>
      </c>
      <c r="J99" s="1">
        <f t="shared" si="6"/>
        <v>1</v>
      </c>
      <c r="K99" s="1">
        <f t="shared" si="7"/>
        <v>1</v>
      </c>
      <c r="L99" s="1">
        <f t="shared" si="8"/>
        <v>0</v>
      </c>
      <c r="M99" s="1" t="str">
        <f t="shared" si="9"/>
        <v>有用信息</v>
      </c>
    </row>
    <row r="100" spans="1:13" x14ac:dyDescent="0.2">
      <c r="A100" s="1" t="s">
        <v>379</v>
      </c>
      <c r="B100" s="2">
        <v>46091</v>
      </c>
      <c r="C100" s="1" t="s">
        <v>126</v>
      </c>
      <c r="D100" s="1">
        <v>278</v>
      </c>
      <c r="E100" s="1">
        <v>44</v>
      </c>
      <c r="F100" s="1">
        <v>18</v>
      </c>
      <c r="G100" s="1" t="s">
        <v>380</v>
      </c>
      <c r="H100" s="1" t="s">
        <v>381</v>
      </c>
      <c r="I100" s="1">
        <f t="shared" si="5"/>
        <v>0</v>
      </c>
      <c r="J100" s="1">
        <f t="shared" si="6"/>
        <v>1</v>
      </c>
      <c r="K100" s="1">
        <f t="shared" si="7"/>
        <v>0</v>
      </c>
      <c r="L100" s="1">
        <f t="shared" si="8"/>
        <v>0</v>
      </c>
      <c r="M100" s="1" t="str">
        <f t="shared" si="9"/>
        <v>有用信息</v>
      </c>
    </row>
    <row r="101" spans="1:13" x14ac:dyDescent="0.2">
      <c r="A101" s="1" t="s">
        <v>382</v>
      </c>
      <c r="B101" s="2">
        <v>46089</v>
      </c>
      <c r="C101" s="1" t="s">
        <v>130</v>
      </c>
      <c r="D101" s="1">
        <v>433</v>
      </c>
      <c r="E101" s="1">
        <v>49</v>
      </c>
      <c r="F101" s="1">
        <v>30</v>
      </c>
      <c r="G101" s="1" t="s">
        <v>383</v>
      </c>
      <c r="H101" s="1" t="s">
        <v>384</v>
      </c>
      <c r="I101" s="1">
        <f t="shared" si="5"/>
        <v>0</v>
      </c>
      <c r="J101" s="1">
        <f t="shared" si="6"/>
        <v>1</v>
      </c>
      <c r="K101" s="1">
        <f t="shared" si="7"/>
        <v>0</v>
      </c>
      <c r="L101" s="1">
        <f t="shared" si="8"/>
        <v>0</v>
      </c>
      <c r="M101" s="1" t="str">
        <f t="shared" si="9"/>
        <v>有用信息</v>
      </c>
    </row>
    <row r="102" spans="1:13" x14ac:dyDescent="0.2">
      <c r="A102" s="1" t="s">
        <v>385</v>
      </c>
      <c r="B102" s="2">
        <v>46086</v>
      </c>
      <c r="C102" s="1" t="s">
        <v>134</v>
      </c>
      <c r="D102" s="1">
        <v>201</v>
      </c>
      <c r="E102" s="1">
        <v>37</v>
      </c>
      <c r="F102" s="1">
        <v>13</v>
      </c>
      <c r="G102" s="1" t="s">
        <v>386</v>
      </c>
      <c r="H102" s="1" t="s">
        <v>387</v>
      </c>
      <c r="I102" s="1">
        <f t="shared" si="5"/>
        <v>1</v>
      </c>
      <c r="J102" s="1">
        <f t="shared" si="6"/>
        <v>0</v>
      </c>
      <c r="K102" s="1">
        <f t="shared" si="7"/>
        <v>0</v>
      </c>
      <c r="L102" s="1">
        <f t="shared" si="8"/>
        <v>0</v>
      </c>
      <c r="M102" s="1" t="str">
        <f t="shared" si="9"/>
        <v>有用信息</v>
      </c>
    </row>
    <row r="103" spans="1:13" x14ac:dyDescent="0.2">
      <c r="A103" s="1" t="s">
        <v>388</v>
      </c>
      <c r="B103" s="2">
        <v>46094</v>
      </c>
      <c r="C103" s="1" t="s">
        <v>138</v>
      </c>
      <c r="D103" s="1">
        <v>312</v>
      </c>
      <c r="E103" s="1">
        <v>30</v>
      </c>
      <c r="F103" s="1">
        <v>19</v>
      </c>
      <c r="G103" s="1" t="s">
        <v>389</v>
      </c>
      <c r="H103" s="1" t="s">
        <v>390</v>
      </c>
      <c r="I103" s="1">
        <f t="shared" si="5"/>
        <v>0</v>
      </c>
      <c r="J103" s="1">
        <f t="shared" si="6"/>
        <v>1</v>
      </c>
      <c r="K103" s="1">
        <f t="shared" si="7"/>
        <v>0</v>
      </c>
      <c r="L103" s="1">
        <f t="shared" si="8"/>
        <v>0</v>
      </c>
      <c r="M103" s="1" t="str">
        <f t="shared" si="9"/>
        <v>有用信息</v>
      </c>
    </row>
    <row r="104" spans="1:13" x14ac:dyDescent="0.2">
      <c r="A104" s="1" t="s">
        <v>391</v>
      </c>
      <c r="B104" s="2">
        <v>46092</v>
      </c>
      <c r="C104" s="1" t="s">
        <v>142</v>
      </c>
      <c r="D104" s="1">
        <v>612</v>
      </c>
      <c r="E104" s="1">
        <v>54</v>
      </c>
      <c r="F104" s="1">
        <v>45</v>
      </c>
      <c r="G104" s="1" t="s">
        <v>392</v>
      </c>
      <c r="H104" s="1" t="s">
        <v>393</v>
      </c>
      <c r="I104" s="1">
        <f t="shared" si="5"/>
        <v>1</v>
      </c>
      <c r="J104" s="1">
        <f t="shared" si="6"/>
        <v>1</v>
      </c>
      <c r="K104" s="1">
        <f t="shared" si="7"/>
        <v>0</v>
      </c>
      <c r="L104" s="1">
        <f t="shared" si="8"/>
        <v>0</v>
      </c>
      <c r="M104" s="1" t="str">
        <f t="shared" si="9"/>
        <v>有用信息</v>
      </c>
    </row>
    <row r="105" spans="1:13" x14ac:dyDescent="0.2">
      <c r="A105" s="1" t="s">
        <v>394</v>
      </c>
      <c r="B105" s="2">
        <v>46088</v>
      </c>
      <c r="C105" s="1" t="s">
        <v>146</v>
      </c>
      <c r="D105" s="1">
        <v>344</v>
      </c>
      <c r="E105" s="1">
        <v>48</v>
      </c>
      <c r="F105" s="1">
        <v>25</v>
      </c>
      <c r="G105" s="1" t="s">
        <v>395</v>
      </c>
      <c r="H105" s="1" t="s">
        <v>396</v>
      </c>
      <c r="I105" s="1">
        <f t="shared" si="5"/>
        <v>0</v>
      </c>
      <c r="J105" s="1">
        <f t="shared" si="6"/>
        <v>1</v>
      </c>
      <c r="K105" s="1">
        <f t="shared" si="7"/>
        <v>0</v>
      </c>
      <c r="L105" s="1">
        <f t="shared" si="8"/>
        <v>0</v>
      </c>
      <c r="M105" s="1" t="str">
        <f t="shared" si="9"/>
        <v>有用信息</v>
      </c>
    </row>
    <row r="106" spans="1:13" x14ac:dyDescent="0.2">
      <c r="A106" s="1" t="s">
        <v>397</v>
      </c>
      <c r="B106" s="2">
        <v>46090</v>
      </c>
      <c r="C106" s="1" t="s">
        <v>150</v>
      </c>
      <c r="D106" s="1">
        <v>256</v>
      </c>
      <c r="E106" s="1">
        <v>33</v>
      </c>
      <c r="F106" s="1">
        <v>14</v>
      </c>
      <c r="G106" s="1" t="s">
        <v>398</v>
      </c>
      <c r="H106" s="1" t="s">
        <v>399</v>
      </c>
      <c r="I106" s="1">
        <f t="shared" si="5"/>
        <v>1</v>
      </c>
      <c r="J106" s="1">
        <f t="shared" si="6"/>
        <v>0</v>
      </c>
      <c r="K106" s="1">
        <f t="shared" si="7"/>
        <v>0</v>
      </c>
      <c r="L106" s="1">
        <f t="shared" si="8"/>
        <v>0</v>
      </c>
      <c r="M106" s="1" t="str">
        <f t="shared" si="9"/>
        <v>有用信息</v>
      </c>
    </row>
    <row r="107" spans="1:13" ht="14.1" customHeight="1" x14ac:dyDescent="0.2">
      <c r="A107" s="1" t="s">
        <v>400</v>
      </c>
      <c r="B107" s="2">
        <v>46095</v>
      </c>
      <c r="C107" s="3" t="s">
        <v>18</v>
      </c>
      <c r="D107" s="1">
        <v>489</v>
      </c>
      <c r="E107" s="1">
        <v>41</v>
      </c>
      <c r="F107" s="1">
        <v>32</v>
      </c>
      <c r="G107" s="1" t="s">
        <v>401</v>
      </c>
      <c r="H107" s="1" t="s">
        <v>402</v>
      </c>
      <c r="I107" s="1">
        <f t="shared" si="5"/>
        <v>1</v>
      </c>
      <c r="J107" s="1">
        <f t="shared" si="6"/>
        <v>0</v>
      </c>
      <c r="K107" s="1">
        <f t="shared" si="7"/>
        <v>0</v>
      </c>
      <c r="L107" s="1">
        <f t="shared" si="8"/>
        <v>0</v>
      </c>
      <c r="M107" s="1" t="str">
        <f t="shared" si="9"/>
        <v>有用信息</v>
      </c>
    </row>
    <row r="108" spans="1:13" x14ac:dyDescent="0.2">
      <c r="A108" s="1" t="s">
        <v>403</v>
      </c>
      <c r="B108" s="2">
        <v>46096</v>
      </c>
      <c r="C108" s="3" t="s">
        <v>14</v>
      </c>
      <c r="D108" s="1">
        <v>213</v>
      </c>
      <c r="E108" s="1">
        <v>28</v>
      </c>
      <c r="F108" s="1">
        <v>11</v>
      </c>
      <c r="G108" s="1" t="s">
        <v>404</v>
      </c>
      <c r="H108" s="1" t="s">
        <v>405</v>
      </c>
      <c r="I108" s="1">
        <f t="shared" si="5"/>
        <v>0</v>
      </c>
      <c r="J108" s="1">
        <f t="shared" si="6"/>
        <v>1</v>
      </c>
      <c r="K108" s="1">
        <f t="shared" si="7"/>
        <v>0</v>
      </c>
      <c r="L108" s="1">
        <f t="shared" si="8"/>
        <v>0</v>
      </c>
      <c r="M108" s="1" t="str">
        <f t="shared" si="9"/>
        <v>有用信息</v>
      </c>
    </row>
    <row r="109" spans="1:13" x14ac:dyDescent="0.2">
      <c r="A109" s="1" t="s">
        <v>406</v>
      </c>
      <c r="B109" s="2">
        <v>46094</v>
      </c>
      <c r="C109" s="3" t="s">
        <v>22</v>
      </c>
      <c r="D109" s="1">
        <v>567</v>
      </c>
      <c r="E109" s="1">
        <v>73</v>
      </c>
      <c r="F109" s="1">
        <v>48</v>
      </c>
      <c r="G109" s="1" t="s">
        <v>407</v>
      </c>
      <c r="H109" s="1" t="s">
        <v>408</v>
      </c>
      <c r="I109" s="1">
        <f t="shared" si="5"/>
        <v>1</v>
      </c>
      <c r="J109" s="1">
        <f t="shared" si="6"/>
        <v>0</v>
      </c>
      <c r="K109" s="1">
        <f t="shared" si="7"/>
        <v>0</v>
      </c>
      <c r="L109" s="1">
        <f t="shared" si="8"/>
        <v>0</v>
      </c>
      <c r="M109" s="1" t="str">
        <f t="shared" si="9"/>
        <v>有用信息</v>
      </c>
    </row>
    <row r="110" spans="1:13" x14ac:dyDescent="0.2">
      <c r="A110" s="1" t="s">
        <v>409</v>
      </c>
      <c r="B110" s="2">
        <v>46095</v>
      </c>
      <c r="C110" s="3" t="s">
        <v>26</v>
      </c>
      <c r="D110" s="1">
        <v>345</v>
      </c>
      <c r="E110" s="1">
        <v>39</v>
      </c>
      <c r="F110" s="1">
        <v>23</v>
      </c>
      <c r="G110" s="1" t="s">
        <v>410</v>
      </c>
      <c r="H110" s="1" t="s">
        <v>411</v>
      </c>
      <c r="I110" s="1">
        <f t="shared" si="5"/>
        <v>0</v>
      </c>
      <c r="J110" s="1">
        <f t="shared" si="6"/>
        <v>1</v>
      </c>
      <c r="K110" s="1">
        <f t="shared" si="7"/>
        <v>0</v>
      </c>
      <c r="L110" s="1">
        <f t="shared" si="8"/>
        <v>0</v>
      </c>
      <c r="M110" s="1" t="str">
        <f t="shared" si="9"/>
        <v>有用信息</v>
      </c>
    </row>
    <row r="111" spans="1:13" x14ac:dyDescent="0.2">
      <c r="A111" s="1" t="s">
        <v>412</v>
      </c>
      <c r="B111" s="2">
        <v>46093</v>
      </c>
      <c r="C111" s="3" t="s">
        <v>30</v>
      </c>
      <c r="D111" s="1">
        <v>678</v>
      </c>
      <c r="E111" s="1">
        <v>81</v>
      </c>
      <c r="F111" s="1">
        <v>56</v>
      </c>
      <c r="G111" s="1" t="s">
        <v>413</v>
      </c>
      <c r="H111" s="1" t="s">
        <v>414</v>
      </c>
      <c r="I111" s="1">
        <f t="shared" si="5"/>
        <v>1</v>
      </c>
      <c r="J111" s="1">
        <f t="shared" si="6"/>
        <v>0</v>
      </c>
      <c r="K111" s="1">
        <f t="shared" si="7"/>
        <v>0</v>
      </c>
      <c r="L111" s="1">
        <f t="shared" si="8"/>
        <v>0</v>
      </c>
      <c r="M111" s="1" t="str">
        <f t="shared" si="9"/>
        <v>有用信息</v>
      </c>
    </row>
    <row r="112" spans="1:13" x14ac:dyDescent="0.2">
      <c r="A112" s="1" t="s">
        <v>415</v>
      </c>
      <c r="B112" s="2">
        <v>46096</v>
      </c>
      <c r="C112" s="3" t="s">
        <v>34</v>
      </c>
      <c r="D112" s="1">
        <v>401</v>
      </c>
      <c r="E112" s="1">
        <v>52</v>
      </c>
      <c r="F112" s="1">
        <v>27</v>
      </c>
      <c r="G112" s="1" t="s">
        <v>416</v>
      </c>
      <c r="H112" s="1" t="s">
        <v>417</v>
      </c>
      <c r="I112" s="1">
        <f t="shared" si="5"/>
        <v>0</v>
      </c>
      <c r="J112" s="1">
        <f t="shared" si="6"/>
        <v>1</v>
      </c>
      <c r="K112" s="1">
        <f t="shared" si="7"/>
        <v>0</v>
      </c>
      <c r="L112" s="1">
        <f t="shared" si="8"/>
        <v>0</v>
      </c>
      <c r="M112" s="1" t="str">
        <f t="shared" si="9"/>
        <v>有用信息</v>
      </c>
    </row>
    <row r="113" spans="1:13" x14ac:dyDescent="0.2">
      <c r="A113" s="1" t="s">
        <v>418</v>
      </c>
      <c r="B113" s="2">
        <v>46092</v>
      </c>
      <c r="C113" s="3" t="s">
        <v>38</v>
      </c>
      <c r="D113" s="1">
        <v>267</v>
      </c>
      <c r="E113" s="1">
        <v>31</v>
      </c>
      <c r="F113" s="1">
        <v>16</v>
      </c>
      <c r="G113" s="1" t="s">
        <v>419</v>
      </c>
      <c r="H113" s="1" t="s">
        <v>420</v>
      </c>
      <c r="I113" s="1">
        <f t="shared" si="5"/>
        <v>1</v>
      </c>
      <c r="J113" s="1">
        <f t="shared" si="6"/>
        <v>0</v>
      </c>
      <c r="K113" s="1">
        <f t="shared" si="7"/>
        <v>0</v>
      </c>
      <c r="L113" s="1">
        <f t="shared" si="8"/>
        <v>0</v>
      </c>
      <c r="M113" s="1" t="str">
        <f t="shared" si="9"/>
        <v>有用信息</v>
      </c>
    </row>
    <row r="114" spans="1:13" x14ac:dyDescent="0.2">
      <c r="A114" s="1" t="s">
        <v>421</v>
      </c>
      <c r="B114" s="2">
        <v>46095</v>
      </c>
      <c r="C114" s="3" t="s">
        <v>50</v>
      </c>
      <c r="D114" s="1">
        <v>512</v>
      </c>
      <c r="E114" s="1">
        <v>88</v>
      </c>
      <c r="F114" s="1">
        <v>41</v>
      </c>
      <c r="G114" s="1" t="s">
        <v>422</v>
      </c>
      <c r="H114" s="1" t="s">
        <v>423</v>
      </c>
      <c r="I114" s="1">
        <f t="shared" si="5"/>
        <v>1</v>
      </c>
      <c r="J114" s="1">
        <f t="shared" si="6"/>
        <v>1</v>
      </c>
      <c r="K114" s="1">
        <f t="shared" si="7"/>
        <v>0</v>
      </c>
      <c r="L114" s="1">
        <f t="shared" si="8"/>
        <v>0</v>
      </c>
      <c r="M114" s="1" t="str">
        <f t="shared" si="9"/>
        <v>有用信息</v>
      </c>
    </row>
    <row r="115" spans="1:13" x14ac:dyDescent="0.2">
      <c r="A115" s="1" t="s">
        <v>424</v>
      </c>
      <c r="B115" s="2">
        <v>46091</v>
      </c>
      <c r="C115" s="3" t="s">
        <v>46</v>
      </c>
      <c r="D115" s="1">
        <v>298</v>
      </c>
      <c r="E115" s="1">
        <v>27</v>
      </c>
      <c r="F115" s="1">
        <v>15</v>
      </c>
      <c r="G115" s="1" t="s">
        <v>425</v>
      </c>
      <c r="H115" s="1" t="s">
        <v>426</v>
      </c>
      <c r="I115" s="1">
        <f t="shared" si="5"/>
        <v>0</v>
      </c>
      <c r="J115" s="1">
        <f t="shared" si="6"/>
        <v>1</v>
      </c>
      <c r="K115" s="1">
        <f t="shared" si="7"/>
        <v>0</v>
      </c>
      <c r="L115" s="1">
        <f t="shared" si="8"/>
        <v>0</v>
      </c>
      <c r="M115" s="1" t="str">
        <f t="shared" si="9"/>
        <v>有用信息</v>
      </c>
    </row>
    <row r="116" spans="1:13" x14ac:dyDescent="0.2">
      <c r="A116" s="1" t="s">
        <v>427</v>
      </c>
      <c r="B116" s="2">
        <v>46094</v>
      </c>
      <c r="C116" s="3" t="s">
        <v>58</v>
      </c>
      <c r="D116" s="1">
        <v>367</v>
      </c>
      <c r="E116" s="1">
        <v>94</v>
      </c>
      <c r="F116" s="1">
        <v>33</v>
      </c>
      <c r="G116" s="1" t="s">
        <v>428</v>
      </c>
      <c r="H116" s="1" t="s">
        <v>429</v>
      </c>
      <c r="I116" s="1">
        <f t="shared" si="5"/>
        <v>1</v>
      </c>
      <c r="J116" s="1">
        <f t="shared" si="6"/>
        <v>0</v>
      </c>
      <c r="K116" s="1">
        <f t="shared" si="7"/>
        <v>0</v>
      </c>
      <c r="L116" s="1">
        <f t="shared" si="8"/>
        <v>0</v>
      </c>
      <c r="M116" s="1" t="str">
        <f t="shared" si="9"/>
        <v>有用信息</v>
      </c>
    </row>
    <row r="117" spans="1:13" x14ac:dyDescent="0.2">
      <c r="A117" s="1" t="s">
        <v>430</v>
      </c>
      <c r="B117" s="2">
        <v>46096</v>
      </c>
      <c r="C117" s="3" t="s">
        <v>54</v>
      </c>
      <c r="D117" s="1">
        <v>289</v>
      </c>
      <c r="E117" s="1">
        <v>38</v>
      </c>
      <c r="F117" s="1">
        <v>19</v>
      </c>
      <c r="G117" s="1" t="s">
        <v>431</v>
      </c>
      <c r="H117" s="1" t="s">
        <v>432</v>
      </c>
      <c r="I117" s="1">
        <f t="shared" si="5"/>
        <v>1</v>
      </c>
      <c r="J117" s="1">
        <f t="shared" si="6"/>
        <v>0</v>
      </c>
      <c r="K117" s="1">
        <f t="shared" si="7"/>
        <v>0</v>
      </c>
      <c r="L117" s="1">
        <f t="shared" si="8"/>
        <v>1</v>
      </c>
      <c r="M117" s="1" t="str">
        <f t="shared" si="9"/>
        <v>有用信息</v>
      </c>
    </row>
    <row r="118" spans="1:13" x14ac:dyDescent="0.2">
      <c r="A118" s="1" t="s">
        <v>433</v>
      </c>
      <c r="B118" s="2">
        <v>46093</v>
      </c>
      <c r="C118" s="3" t="s">
        <v>62</v>
      </c>
      <c r="D118" s="1">
        <v>534</v>
      </c>
      <c r="E118" s="1">
        <v>46</v>
      </c>
      <c r="F118" s="1">
        <v>37</v>
      </c>
      <c r="G118" s="1" t="s">
        <v>434</v>
      </c>
      <c r="H118" s="1" t="s">
        <v>435</v>
      </c>
      <c r="I118" s="1">
        <f t="shared" si="5"/>
        <v>0</v>
      </c>
      <c r="J118" s="1">
        <f t="shared" si="6"/>
        <v>1</v>
      </c>
      <c r="K118" s="1">
        <f t="shared" si="7"/>
        <v>0</v>
      </c>
      <c r="L118" s="1">
        <f t="shared" si="8"/>
        <v>0</v>
      </c>
      <c r="M118" s="1" t="str">
        <f t="shared" si="9"/>
        <v>有用信息</v>
      </c>
    </row>
    <row r="119" spans="1:13" x14ac:dyDescent="0.2">
      <c r="A119" s="1" t="s">
        <v>436</v>
      </c>
      <c r="B119" s="2">
        <v>46095</v>
      </c>
      <c r="C119" s="3" t="s">
        <v>42</v>
      </c>
      <c r="D119" s="1">
        <v>378</v>
      </c>
      <c r="E119" s="1">
        <v>44</v>
      </c>
      <c r="F119" s="1">
        <v>25</v>
      </c>
      <c r="G119" s="1" t="s">
        <v>437</v>
      </c>
      <c r="H119" s="1" t="s">
        <v>438</v>
      </c>
      <c r="I119" s="1">
        <f t="shared" si="5"/>
        <v>0</v>
      </c>
      <c r="J119" s="1">
        <f t="shared" si="6"/>
        <v>1</v>
      </c>
      <c r="K119" s="1">
        <f t="shared" si="7"/>
        <v>0</v>
      </c>
      <c r="L119" s="1">
        <f t="shared" si="8"/>
        <v>0</v>
      </c>
      <c r="M119" s="1" t="str">
        <f t="shared" si="9"/>
        <v>有用信息</v>
      </c>
    </row>
    <row r="120" spans="1:13" x14ac:dyDescent="0.2">
      <c r="A120" s="1" t="s">
        <v>439</v>
      </c>
      <c r="B120" s="2">
        <v>46092</v>
      </c>
      <c r="C120" s="3" t="s">
        <v>66</v>
      </c>
      <c r="D120" s="1">
        <v>334</v>
      </c>
      <c r="E120" s="1">
        <v>71</v>
      </c>
      <c r="F120" s="1">
        <v>28</v>
      </c>
      <c r="G120" s="1" t="s">
        <v>440</v>
      </c>
      <c r="H120" s="1" t="s">
        <v>441</v>
      </c>
      <c r="I120" s="1">
        <f t="shared" si="5"/>
        <v>1</v>
      </c>
      <c r="J120" s="1">
        <f t="shared" si="6"/>
        <v>0</v>
      </c>
      <c r="K120" s="1">
        <f t="shared" si="7"/>
        <v>0</v>
      </c>
      <c r="L120" s="1">
        <f t="shared" si="8"/>
        <v>0</v>
      </c>
      <c r="M120" s="1" t="str">
        <f t="shared" si="9"/>
        <v>有用信息</v>
      </c>
    </row>
    <row r="121" spans="1:13" x14ac:dyDescent="0.2">
      <c r="A121" s="1" t="s">
        <v>442</v>
      </c>
      <c r="B121" s="2">
        <v>46096</v>
      </c>
      <c r="C121" s="3" t="s">
        <v>70</v>
      </c>
      <c r="D121" s="1">
        <v>412</v>
      </c>
      <c r="E121" s="1">
        <v>39</v>
      </c>
      <c r="F121" s="1">
        <v>24</v>
      </c>
      <c r="G121" s="1" t="s">
        <v>443</v>
      </c>
      <c r="H121" s="1" t="s">
        <v>444</v>
      </c>
      <c r="I121" s="1">
        <f t="shared" si="5"/>
        <v>0</v>
      </c>
      <c r="J121" s="1">
        <f t="shared" si="6"/>
        <v>1</v>
      </c>
      <c r="K121" s="1">
        <f t="shared" si="7"/>
        <v>0</v>
      </c>
      <c r="L121" s="1">
        <f t="shared" si="8"/>
        <v>0</v>
      </c>
      <c r="M121" s="1" t="str">
        <f t="shared" si="9"/>
        <v>有用信息</v>
      </c>
    </row>
    <row r="122" spans="1:13" x14ac:dyDescent="0.2">
      <c r="A122" s="1" t="s">
        <v>445</v>
      </c>
      <c r="B122" s="2">
        <v>46094</v>
      </c>
      <c r="C122" s="3" t="s">
        <v>74</v>
      </c>
      <c r="D122" s="1">
        <v>256</v>
      </c>
      <c r="E122" s="1">
        <v>28</v>
      </c>
      <c r="F122" s="1">
        <v>14</v>
      </c>
      <c r="G122" s="1" t="s">
        <v>446</v>
      </c>
      <c r="H122" s="1" t="s">
        <v>351</v>
      </c>
      <c r="I122" s="1">
        <f t="shared" si="5"/>
        <v>1</v>
      </c>
      <c r="J122" s="1">
        <f t="shared" si="6"/>
        <v>0</v>
      </c>
      <c r="K122" s="1">
        <f t="shared" si="7"/>
        <v>0</v>
      </c>
      <c r="L122" s="1">
        <f t="shared" si="8"/>
        <v>0</v>
      </c>
      <c r="M122" s="1" t="str">
        <f t="shared" si="9"/>
        <v>有用信息</v>
      </c>
    </row>
    <row r="123" spans="1:13" x14ac:dyDescent="0.2">
      <c r="A123" s="1" t="s">
        <v>447</v>
      </c>
      <c r="B123" s="2">
        <v>46095</v>
      </c>
      <c r="C123" s="3" t="s">
        <v>78</v>
      </c>
      <c r="D123" s="1">
        <v>489</v>
      </c>
      <c r="E123" s="1">
        <v>51</v>
      </c>
      <c r="F123" s="1">
        <v>34</v>
      </c>
      <c r="G123" s="1" t="s">
        <v>448</v>
      </c>
      <c r="H123" s="1" t="s">
        <v>449</v>
      </c>
      <c r="I123" s="1">
        <f t="shared" si="5"/>
        <v>0</v>
      </c>
      <c r="J123" s="1">
        <f t="shared" si="6"/>
        <v>1</v>
      </c>
      <c r="K123" s="1">
        <f t="shared" si="7"/>
        <v>0</v>
      </c>
      <c r="L123" s="1">
        <f t="shared" si="8"/>
        <v>0</v>
      </c>
      <c r="M123" s="1" t="str">
        <f t="shared" si="9"/>
        <v>有用信息</v>
      </c>
    </row>
    <row r="124" spans="1:13" x14ac:dyDescent="0.2">
      <c r="A124" s="1" t="s">
        <v>450</v>
      </c>
      <c r="B124" s="2">
        <v>46091</v>
      </c>
      <c r="C124" s="3" t="s">
        <v>82</v>
      </c>
      <c r="D124" s="1">
        <v>223</v>
      </c>
      <c r="E124" s="1">
        <v>41</v>
      </c>
      <c r="F124" s="1">
        <v>15</v>
      </c>
      <c r="G124" s="1" t="s">
        <v>451</v>
      </c>
      <c r="H124" s="1" t="s">
        <v>452</v>
      </c>
      <c r="I124" s="1">
        <f t="shared" si="5"/>
        <v>0</v>
      </c>
      <c r="J124" s="1">
        <f t="shared" si="6"/>
        <v>1</v>
      </c>
      <c r="K124" s="1">
        <f t="shared" si="7"/>
        <v>0</v>
      </c>
      <c r="L124" s="1">
        <f t="shared" si="8"/>
        <v>0</v>
      </c>
      <c r="M124" s="1" t="str">
        <f t="shared" si="9"/>
        <v>有用信息</v>
      </c>
    </row>
    <row r="125" spans="1:13" x14ac:dyDescent="0.2">
      <c r="A125" s="1" t="s">
        <v>453</v>
      </c>
      <c r="B125" s="2">
        <v>46093</v>
      </c>
      <c r="C125" s="3" t="s">
        <v>86</v>
      </c>
      <c r="D125" s="1">
        <v>311</v>
      </c>
      <c r="E125" s="1">
        <v>35</v>
      </c>
      <c r="F125" s="1">
        <v>20</v>
      </c>
      <c r="G125" s="1" t="s">
        <v>454</v>
      </c>
      <c r="H125" s="1" t="s">
        <v>455</v>
      </c>
      <c r="I125" s="1">
        <f t="shared" si="5"/>
        <v>1</v>
      </c>
      <c r="J125" s="1">
        <f t="shared" si="6"/>
        <v>0</v>
      </c>
      <c r="K125" s="1">
        <f t="shared" si="7"/>
        <v>0</v>
      </c>
      <c r="L125" s="1">
        <f t="shared" si="8"/>
        <v>0</v>
      </c>
      <c r="M125" s="1" t="str">
        <f t="shared" si="9"/>
        <v>有用信息</v>
      </c>
    </row>
    <row r="126" spans="1:13" x14ac:dyDescent="0.2">
      <c r="A126" s="1" t="s">
        <v>456</v>
      </c>
      <c r="B126" s="2">
        <v>46096</v>
      </c>
      <c r="C126" s="3" t="s">
        <v>90</v>
      </c>
      <c r="D126" s="1">
        <v>623</v>
      </c>
      <c r="E126" s="1">
        <v>77</v>
      </c>
      <c r="F126" s="1">
        <v>52</v>
      </c>
      <c r="G126" s="1" t="s">
        <v>457</v>
      </c>
      <c r="H126" s="1" t="s">
        <v>458</v>
      </c>
      <c r="I126" s="1">
        <f t="shared" si="5"/>
        <v>0</v>
      </c>
      <c r="J126" s="1">
        <f t="shared" si="6"/>
        <v>1</v>
      </c>
      <c r="K126" s="1">
        <f t="shared" si="7"/>
        <v>0</v>
      </c>
      <c r="L126" s="1">
        <f t="shared" si="8"/>
        <v>0</v>
      </c>
      <c r="M126" s="1" t="str">
        <f t="shared" si="9"/>
        <v>有用信息</v>
      </c>
    </row>
    <row r="127" spans="1:13" x14ac:dyDescent="0.2">
      <c r="A127" s="1" t="s">
        <v>459</v>
      </c>
      <c r="B127" s="2">
        <v>46092</v>
      </c>
      <c r="C127" s="3" t="s">
        <v>94</v>
      </c>
      <c r="D127" s="1">
        <v>289</v>
      </c>
      <c r="E127" s="1">
        <v>63</v>
      </c>
      <c r="F127" s="1">
        <v>21</v>
      </c>
      <c r="G127" s="1" t="s">
        <v>460</v>
      </c>
      <c r="H127" s="1" t="s">
        <v>461</v>
      </c>
      <c r="I127" s="1">
        <f t="shared" si="5"/>
        <v>0</v>
      </c>
      <c r="J127" s="1">
        <f t="shared" si="6"/>
        <v>1</v>
      </c>
      <c r="K127" s="1">
        <f t="shared" si="7"/>
        <v>0</v>
      </c>
      <c r="L127" s="1">
        <f t="shared" si="8"/>
        <v>0</v>
      </c>
      <c r="M127" s="1" t="str">
        <f t="shared" si="9"/>
        <v>有用信息</v>
      </c>
    </row>
    <row r="128" spans="1:13" x14ac:dyDescent="0.2">
      <c r="A128" s="1" t="s">
        <v>462</v>
      </c>
      <c r="B128" s="2">
        <v>46094</v>
      </c>
      <c r="C128" s="3" t="s">
        <v>98</v>
      </c>
      <c r="D128" s="1">
        <v>267</v>
      </c>
      <c r="E128" s="1">
        <v>32</v>
      </c>
      <c r="F128" s="1">
        <v>17</v>
      </c>
      <c r="G128" s="1" t="s">
        <v>463</v>
      </c>
      <c r="H128" s="1" t="s">
        <v>464</v>
      </c>
      <c r="I128" s="1">
        <f t="shared" si="5"/>
        <v>1</v>
      </c>
      <c r="J128" s="1">
        <f t="shared" si="6"/>
        <v>0</v>
      </c>
      <c r="K128" s="1">
        <f t="shared" si="7"/>
        <v>0</v>
      </c>
      <c r="L128" s="1">
        <f t="shared" si="8"/>
        <v>0</v>
      </c>
      <c r="M128" s="1" t="str">
        <f t="shared" si="9"/>
        <v>有用信息</v>
      </c>
    </row>
    <row r="129" spans="1:13" x14ac:dyDescent="0.2">
      <c r="A129" s="1" t="s">
        <v>465</v>
      </c>
      <c r="B129" s="2">
        <v>46095</v>
      </c>
      <c r="C129" s="3" t="s">
        <v>102</v>
      </c>
      <c r="D129" s="1">
        <v>456</v>
      </c>
      <c r="E129" s="1">
        <v>42</v>
      </c>
      <c r="F129" s="1">
        <v>29</v>
      </c>
      <c r="G129" s="1" t="s">
        <v>466</v>
      </c>
      <c r="H129" s="1" t="s">
        <v>467</v>
      </c>
      <c r="I129" s="1">
        <f t="shared" si="5"/>
        <v>0</v>
      </c>
      <c r="J129" s="1">
        <f t="shared" si="6"/>
        <v>1</v>
      </c>
      <c r="K129" s="1">
        <f t="shared" si="7"/>
        <v>0</v>
      </c>
      <c r="L129" s="1">
        <f t="shared" si="8"/>
        <v>0</v>
      </c>
      <c r="M129" s="1" t="str">
        <f t="shared" si="9"/>
        <v>有用信息</v>
      </c>
    </row>
    <row r="130" spans="1:13" x14ac:dyDescent="0.2">
      <c r="A130" s="1" t="s">
        <v>468</v>
      </c>
      <c r="B130" s="2">
        <v>46091</v>
      </c>
      <c r="C130" s="3" t="s">
        <v>106</v>
      </c>
      <c r="D130" s="1">
        <v>234</v>
      </c>
      <c r="E130" s="1">
        <v>26</v>
      </c>
      <c r="F130" s="1">
        <v>12</v>
      </c>
      <c r="G130" s="1" t="s">
        <v>469</v>
      </c>
      <c r="H130" s="1" t="s">
        <v>470</v>
      </c>
      <c r="I130" s="1">
        <f t="shared" si="5"/>
        <v>1</v>
      </c>
      <c r="J130" s="1">
        <f t="shared" si="6"/>
        <v>0</v>
      </c>
      <c r="K130" s="1">
        <f t="shared" si="7"/>
        <v>0</v>
      </c>
      <c r="L130" s="1">
        <f t="shared" si="8"/>
        <v>0</v>
      </c>
      <c r="M130" s="1" t="str">
        <f t="shared" si="9"/>
        <v>有用信息</v>
      </c>
    </row>
    <row r="131" spans="1:13" x14ac:dyDescent="0.2">
      <c r="A131" s="1" t="s">
        <v>471</v>
      </c>
      <c r="B131" s="2">
        <v>46096</v>
      </c>
      <c r="C131" s="3" t="s">
        <v>110</v>
      </c>
      <c r="D131" s="1">
        <v>198</v>
      </c>
      <c r="E131" s="1">
        <v>45</v>
      </c>
      <c r="F131" s="1">
        <v>14</v>
      </c>
      <c r="G131" s="1" t="s">
        <v>472</v>
      </c>
      <c r="H131" s="1" t="s">
        <v>473</v>
      </c>
      <c r="I131" s="1">
        <f t="shared" ref="I131:I194" si="10">--ISNUMBER(SEARCH("间歇跑",$A131))</f>
        <v>0</v>
      </c>
      <c r="J131" s="1">
        <f t="shared" ref="J131:J194" si="11">--ISNUMBER(SEARCH("LSD",$A131))</f>
        <v>1</v>
      </c>
      <c r="K131" s="1">
        <f t="shared" ref="K131:K194" si="12">--OR(ISNUMBER(SEARCH("节奏",$A131)),ISNUMBER(SEARCH("阈",$A131)))</f>
        <v>0</v>
      </c>
      <c r="L131" s="1">
        <f t="shared" ref="L131:L194" si="13">--ISNUMBER(SEARCH("力量",$A131))</f>
        <v>0</v>
      </c>
      <c r="M131" s="1" t="str">
        <f t="shared" ref="M131:M194" si="14">IF(AND(I131=0,J131=0,K131=0,L131=0),"无用信息","有用信息")</f>
        <v>有用信息</v>
      </c>
    </row>
    <row r="132" spans="1:13" x14ac:dyDescent="0.2">
      <c r="A132" s="1" t="s">
        <v>474</v>
      </c>
      <c r="B132" s="2">
        <v>46093</v>
      </c>
      <c r="C132" s="3" t="s">
        <v>114</v>
      </c>
      <c r="D132" s="1">
        <v>321</v>
      </c>
      <c r="E132" s="1">
        <v>29</v>
      </c>
      <c r="F132" s="1">
        <v>18</v>
      </c>
      <c r="G132" s="1" t="s">
        <v>475</v>
      </c>
      <c r="H132" s="1" t="s">
        <v>476</v>
      </c>
      <c r="I132" s="1">
        <f t="shared" si="10"/>
        <v>1</v>
      </c>
      <c r="J132" s="1">
        <f t="shared" si="11"/>
        <v>0</v>
      </c>
      <c r="K132" s="1">
        <f t="shared" si="12"/>
        <v>0</v>
      </c>
      <c r="L132" s="1">
        <f t="shared" si="13"/>
        <v>0</v>
      </c>
      <c r="M132" s="1" t="str">
        <f t="shared" si="14"/>
        <v>有用信息</v>
      </c>
    </row>
    <row r="133" spans="1:13" x14ac:dyDescent="0.2">
      <c r="A133" s="1" t="s">
        <v>477</v>
      </c>
      <c r="B133" s="2">
        <v>46094</v>
      </c>
      <c r="C133" s="3" t="s">
        <v>126</v>
      </c>
      <c r="D133" s="1">
        <v>267</v>
      </c>
      <c r="E133" s="1">
        <v>38</v>
      </c>
      <c r="F133" s="1">
        <v>16</v>
      </c>
      <c r="G133" s="1" t="s">
        <v>478</v>
      </c>
      <c r="H133" s="1" t="s">
        <v>479</v>
      </c>
      <c r="I133" s="1">
        <f t="shared" si="10"/>
        <v>0</v>
      </c>
      <c r="J133" s="1">
        <f t="shared" si="11"/>
        <v>1</v>
      </c>
      <c r="K133" s="1">
        <f t="shared" si="12"/>
        <v>0</v>
      </c>
      <c r="L133" s="1">
        <f t="shared" si="13"/>
        <v>0</v>
      </c>
      <c r="M133" s="1" t="str">
        <f t="shared" si="14"/>
        <v>有用信息</v>
      </c>
    </row>
    <row r="134" spans="1:13" x14ac:dyDescent="0.2">
      <c r="A134" s="1" t="s">
        <v>480</v>
      </c>
      <c r="B134" s="2">
        <v>46095</v>
      </c>
      <c r="C134" s="3" t="s">
        <v>118</v>
      </c>
      <c r="D134" s="1">
        <v>589</v>
      </c>
      <c r="E134" s="1">
        <v>73</v>
      </c>
      <c r="F134" s="1">
        <v>48</v>
      </c>
      <c r="G134" s="1" t="s">
        <v>481</v>
      </c>
      <c r="H134" s="1" t="s">
        <v>482</v>
      </c>
      <c r="I134" s="1">
        <f t="shared" si="10"/>
        <v>1</v>
      </c>
      <c r="J134" s="1">
        <f t="shared" si="11"/>
        <v>1</v>
      </c>
      <c r="K134" s="1">
        <f t="shared" si="12"/>
        <v>1</v>
      </c>
      <c r="L134" s="1">
        <f t="shared" si="13"/>
        <v>1</v>
      </c>
      <c r="M134" s="1" t="str">
        <f t="shared" si="14"/>
        <v>有用信息</v>
      </c>
    </row>
    <row r="135" spans="1:13" x14ac:dyDescent="0.2">
      <c r="A135" s="1" t="s">
        <v>483</v>
      </c>
      <c r="B135" s="2">
        <v>46092</v>
      </c>
      <c r="C135" s="3" t="s">
        <v>122</v>
      </c>
      <c r="D135" s="1">
        <v>234</v>
      </c>
      <c r="E135" s="1">
        <v>31</v>
      </c>
      <c r="F135" s="1">
        <v>14</v>
      </c>
      <c r="G135" s="1" t="s">
        <v>484</v>
      </c>
      <c r="H135" s="1" t="s">
        <v>485</v>
      </c>
      <c r="I135" s="1">
        <f t="shared" si="10"/>
        <v>1</v>
      </c>
      <c r="J135" s="1">
        <f t="shared" si="11"/>
        <v>0</v>
      </c>
      <c r="K135" s="1">
        <f t="shared" si="12"/>
        <v>0</v>
      </c>
      <c r="L135" s="1">
        <f t="shared" si="13"/>
        <v>0</v>
      </c>
      <c r="M135" s="1" t="str">
        <f t="shared" si="14"/>
        <v>有用信息</v>
      </c>
    </row>
    <row r="136" spans="1:13" x14ac:dyDescent="0.2">
      <c r="A136" s="1" t="s">
        <v>486</v>
      </c>
      <c r="B136" s="2">
        <v>46096</v>
      </c>
      <c r="C136" s="3" t="s">
        <v>130</v>
      </c>
      <c r="D136" s="1">
        <v>378</v>
      </c>
      <c r="E136" s="1">
        <v>34</v>
      </c>
      <c r="F136" s="1">
        <v>22</v>
      </c>
      <c r="G136" s="1" t="s">
        <v>487</v>
      </c>
      <c r="H136" s="1" t="s">
        <v>488</v>
      </c>
      <c r="I136" s="1">
        <f t="shared" si="10"/>
        <v>0</v>
      </c>
      <c r="J136" s="1">
        <f t="shared" si="11"/>
        <v>1</v>
      </c>
      <c r="K136" s="1">
        <f t="shared" si="12"/>
        <v>0</v>
      </c>
      <c r="L136" s="1">
        <f t="shared" si="13"/>
        <v>0</v>
      </c>
      <c r="M136" s="1" t="str">
        <f t="shared" si="14"/>
        <v>有用信息</v>
      </c>
    </row>
    <row r="137" spans="1:13" x14ac:dyDescent="0.2">
      <c r="A137" s="1" t="s">
        <v>489</v>
      </c>
      <c r="B137" s="2">
        <v>46094</v>
      </c>
      <c r="C137" s="3" t="s">
        <v>134</v>
      </c>
      <c r="D137" s="1">
        <v>412</v>
      </c>
      <c r="E137" s="1">
        <v>48</v>
      </c>
      <c r="F137" s="1">
        <v>31</v>
      </c>
      <c r="G137" s="1" t="s">
        <v>490</v>
      </c>
      <c r="H137" s="1" t="s">
        <v>491</v>
      </c>
      <c r="I137" s="1">
        <f t="shared" si="10"/>
        <v>1</v>
      </c>
      <c r="J137" s="1">
        <f t="shared" si="11"/>
        <v>0</v>
      </c>
      <c r="K137" s="1">
        <f t="shared" si="12"/>
        <v>0</v>
      </c>
      <c r="L137" s="1">
        <f t="shared" si="13"/>
        <v>0</v>
      </c>
      <c r="M137" s="1" t="str">
        <f t="shared" si="14"/>
        <v>有用信息</v>
      </c>
    </row>
    <row r="138" spans="1:13" x14ac:dyDescent="0.2">
      <c r="A138" s="1" t="s">
        <v>492</v>
      </c>
      <c r="B138" s="2">
        <v>46093</v>
      </c>
      <c r="C138" s="3" t="s">
        <v>138</v>
      </c>
      <c r="D138" s="1">
        <v>289</v>
      </c>
      <c r="E138" s="1">
        <v>67</v>
      </c>
      <c r="F138" s="1">
        <v>24</v>
      </c>
      <c r="G138" s="1" t="s">
        <v>493</v>
      </c>
      <c r="H138" s="1" t="s">
        <v>494</v>
      </c>
      <c r="I138" s="1">
        <f t="shared" si="10"/>
        <v>0</v>
      </c>
      <c r="J138" s="1">
        <f t="shared" si="11"/>
        <v>1</v>
      </c>
      <c r="K138" s="1">
        <f t="shared" si="12"/>
        <v>0</v>
      </c>
      <c r="L138" s="1">
        <f t="shared" si="13"/>
        <v>0</v>
      </c>
      <c r="M138" s="1" t="str">
        <f t="shared" si="14"/>
        <v>有用信息</v>
      </c>
    </row>
    <row r="139" spans="1:13" x14ac:dyDescent="0.2">
      <c r="A139" s="1" t="s">
        <v>495</v>
      </c>
      <c r="B139" s="2">
        <v>46095</v>
      </c>
      <c r="C139" s="3" t="s">
        <v>142</v>
      </c>
      <c r="D139" s="1">
        <v>345</v>
      </c>
      <c r="E139" s="1">
        <v>37</v>
      </c>
      <c r="F139" s="1">
        <v>21</v>
      </c>
      <c r="G139" s="1" t="s">
        <v>496</v>
      </c>
      <c r="H139" s="1" t="s">
        <v>497</v>
      </c>
      <c r="I139" s="1">
        <f t="shared" si="10"/>
        <v>1</v>
      </c>
      <c r="J139" s="1">
        <f t="shared" si="11"/>
        <v>0</v>
      </c>
      <c r="K139" s="1">
        <f t="shared" si="12"/>
        <v>0</v>
      </c>
      <c r="L139" s="1">
        <f t="shared" si="13"/>
        <v>0</v>
      </c>
      <c r="M139" s="1" t="str">
        <f t="shared" si="14"/>
        <v>有用信息</v>
      </c>
    </row>
    <row r="140" spans="1:13" x14ac:dyDescent="0.2">
      <c r="A140" s="1" t="s">
        <v>498</v>
      </c>
      <c r="B140" s="2">
        <v>46091</v>
      </c>
      <c r="C140" s="3" t="s">
        <v>146</v>
      </c>
      <c r="D140" s="1">
        <v>456</v>
      </c>
      <c r="E140" s="1">
        <v>43</v>
      </c>
      <c r="F140" s="1">
        <v>30</v>
      </c>
      <c r="G140" s="1" t="s">
        <v>499</v>
      </c>
      <c r="H140" s="1" t="s">
        <v>500</v>
      </c>
      <c r="I140" s="1">
        <f t="shared" si="10"/>
        <v>1</v>
      </c>
      <c r="J140" s="1">
        <f t="shared" si="11"/>
        <v>1</v>
      </c>
      <c r="K140" s="1">
        <f t="shared" si="12"/>
        <v>0</v>
      </c>
      <c r="L140" s="1">
        <f t="shared" si="13"/>
        <v>0</v>
      </c>
      <c r="M140" s="1" t="str">
        <f t="shared" si="14"/>
        <v>有用信息</v>
      </c>
    </row>
    <row r="141" spans="1:13" x14ac:dyDescent="0.2">
      <c r="A141" s="1" t="s">
        <v>501</v>
      </c>
      <c r="B141" s="2">
        <v>46096</v>
      </c>
      <c r="C141" s="3" t="s">
        <v>150</v>
      </c>
      <c r="D141" s="1">
        <v>234</v>
      </c>
      <c r="E141" s="1">
        <v>42</v>
      </c>
      <c r="F141" s="1">
        <v>13</v>
      </c>
      <c r="G141" s="1" t="s">
        <v>502</v>
      </c>
      <c r="H141" s="1" t="s">
        <v>503</v>
      </c>
      <c r="I141" s="1">
        <f t="shared" si="10"/>
        <v>0</v>
      </c>
      <c r="J141" s="1">
        <f t="shared" si="11"/>
        <v>1</v>
      </c>
      <c r="K141" s="1">
        <f t="shared" si="12"/>
        <v>0</v>
      </c>
      <c r="L141" s="1">
        <f t="shared" si="13"/>
        <v>0</v>
      </c>
      <c r="M141" s="1" t="str">
        <f t="shared" si="14"/>
        <v>有用信息</v>
      </c>
    </row>
    <row r="142" spans="1:13" x14ac:dyDescent="0.2">
      <c r="A142" s="1" t="s">
        <v>504</v>
      </c>
      <c r="B142" s="2">
        <v>46092</v>
      </c>
      <c r="C142" s="3" t="s">
        <v>154</v>
      </c>
      <c r="D142" s="1">
        <v>278</v>
      </c>
      <c r="E142" s="1">
        <v>58</v>
      </c>
      <c r="F142" s="1">
        <v>19</v>
      </c>
      <c r="G142" s="1" t="s">
        <v>505</v>
      </c>
      <c r="H142" s="1" t="s">
        <v>506</v>
      </c>
      <c r="I142" s="1">
        <f t="shared" si="10"/>
        <v>1</v>
      </c>
      <c r="J142" s="1">
        <f t="shared" si="11"/>
        <v>0</v>
      </c>
      <c r="K142" s="1">
        <f t="shared" si="12"/>
        <v>0</v>
      </c>
      <c r="L142" s="1">
        <f t="shared" si="13"/>
        <v>0</v>
      </c>
      <c r="M142" s="1" t="str">
        <f t="shared" si="14"/>
        <v>有用信息</v>
      </c>
    </row>
    <row r="143" spans="1:13" x14ac:dyDescent="0.2">
      <c r="A143" s="1" t="s">
        <v>507</v>
      </c>
      <c r="B143" s="2">
        <v>46094</v>
      </c>
      <c r="C143" s="3" t="s">
        <v>158</v>
      </c>
      <c r="D143" s="1">
        <v>401</v>
      </c>
      <c r="E143" s="1">
        <v>82</v>
      </c>
      <c r="F143" s="1">
        <v>37</v>
      </c>
      <c r="G143" s="1" t="s">
        <v>508</v>
      </c>
      <c r="H143" s="1" t="s">
        <v>509</v>
      </c>
      <c r="I143" s="1">
        <f t="shared" si="10"/>
        <v>1</v>
      </c>
      <c r="J143" s="1">
        <f t="shared" si="11"/>
        <v>1</v>
      </c>
      <c r="K143" s="1">
        <f t="shared" si="12"/>
        <v>0</v>
      </c>
      <c r="L143" s="1">
        <f t="shared" si="13"/>
        <v>0</v>
      </c>
      <c r="M143" s="1" t="str">
        <f t="shared" si="14"/>
        <v>有用信息</v>
      </c>
    </row>
    <row r="144" spans="1:13" x14ac:dyDescent="0.2">
      <c r="A144" s="1" t="s">
        <v>510</v>
      </c>
      <c r="B144" s="2">
        <v>46095</v>
      </c>
      <c r="C144" s="3" t="s">
        <v>162</v>
      </c>
      <c r="D144" s="1">
        <v>323</v>
      </c>
      <c r="E144" s="1">
        <v>31</v>
      </c>
      <c r="F144" s="1">
        <v>19</v>
      </c>
      <c r="G144" s="1" t="s">
        <v>511</v>
      </c>
      <c r="H144" s="1" t="s">
        <v>512</v>
      </c>
      <c r="I144" s="1">
        <f t="shared" si="10"/>
        <v>0</v>
      </c>
      <c r="J144" s="1">
        <f t="shared" si="11"/>
        <v>1</v>
      </c>
      <c r="K144" s="1">
        <f t="shared" si="12"/>
        <v>0</v>
      </c>
      <c r="L144" s="1">
        <f t="shared" si="13"/>
        <v>0</v>
      </c>
      <c r="M144" s="1" t="str">
        <f t="shared" si="14"/>
        <v>有用信息</v>
      </c>
    </row>
    <row r="145" spans="1:13" x14ac:dyDescent="0.2">
      <c r="A145" s="1" t="s">
        <v>513</v>
      </c>
      <c r="B145" s="2">
        <v>46093</v>
      </c>
      <c r="C145" s="3" t="s">
        <v>166</v>
      </c>
      <c r="D145" s="1">
        <v>289</v>
      </c>
      <c r="E145" s="1">
        <v>35</v>
      </c>
      <c r="F145" s="1">
        <v>17</v>
      </c>
      <c r="G145" s="1" t="s">
        <v>514</v>
      </c>
      <c r="H145" s="1" t="s">
        <v>515</v>
      </c>
      <c r="I145" s="1">
        <f t="shared" si="10"/>
        <v>1</v>
      </c>
      <c r="J145" s="1">
        <f t="shared" si="11"/>
        <v>0</v>
      </c>
      <c r="K145" s="1">
        <f t="shared" si="12"/>
        <v>0</v>
      </c>
      <c r="L145" s="1">
        <f t="shared" si="13"/>
        <v>1</v>
      </c>
      <c r="M145" s="1" t="str">
        <f t="shared" si="14"/>
        <v>有用信息</v>
      </c>
    </row>
    <row r="146" spans="1:13" x14ac:dyDescent="0.2">
      <c r="A146" s="1" t="s">
        <v>516</v>
      </c>
      <c r="B146" s="2">
        <v>46096</v>
      </c>
      <c r="C146" s="3" t="s">
        <v>170</v>
      </c>
      <c r="D146" s="1">
        <v>534</v>
      </c>
      <c r="E146" s="1">
        <v>56</v>
      </c>
      <c r="F146" s="1">
        <v>42</v>
      </c>
      <c r="G146" s="1" t="s">
        <v>517</v>
      </c>
      <c r="H146" s="1" t="s">
        <v>518</v>
      </c>
      <c r="I146" s="1">
        <f t="shared" si="10"/>
        <v>0</v>
      </c>
      <c r="J146" s="1">
        <f t="shared" si="11"/>
        <v>1</v>
      </c>
      <c r="K146" s="1">
        <f t="shared" si="12"/>
        <v>0</v>
      </c>
      <c r="L146" s="1">
        <f t="shared" si="13"/>
        <v>0</v>
      </c>
      <c r="M146" s="1" t="str">
        <f t="shared" si="14"/>
        <v>有用信息</v>
      </c>
    </row>
    <row r="147" spans="1:13" x14ac:dyDescent="0.2">
      <c r="A147" s="1" t="s">
        <v>519</v>
      </c>
      <c r="B147" s="2">
        <v>46091</v>
      </c>
      <c r="C147" s="3" t="s">
        <v>174</v>
      </c>
      <c r="D147" s="1">
        <v>278</v>
      </c>
      <c r="E147" s="1">
        <v>29</v>
      </c>
      <c r="F147" s="1">
        <v>15</v>
      </c>
      <c r="G147" s="1" t="s">
        <v>520</v>
      </c>
      <c r="H147" s="1" t="s">
        <v>521</v>
      </c>
      <c r="I147" s="1">
        <f t="shared" si="10"/>
        <v>0</v>
      </c>
      <c r="J147" s="1">
        <f t="shared" si="11"/>
        <v>1</v>
      </c>
      <c r="K147" s="1">
        <f t="shared" si="12"/>
        <v>0</v>
      </c>
      <c r="L147" s="1">
        <f t="shared" si="13"/>
        <v>0</v>
      </c>
      <c r="M147" s="1" t="str">
        <f t="shared" si="14"/>
        <v>有用信息</v>
      </c>
    </row>
    <row r="148" spans="1:13" x14ac:dyDescent="0.2">
      <c r="A148" s="1" t="s">
        <v>522</v>
      </c>
      <c r="B148" s="2">
        <v>46094</v>
      </c>
      <c r="C148" s="3" t="s">
        <v>178</v>
      </c>
      <c r="D148" s="1">
        <v>312</v>
      </c>
      <c r="E148" s="1">
        <v>48</v>
      </c>
      <c r="F148" s="1">
        <v>21</v>
      </c>
      <c r="G148" s="1" t="s">
        <v>523</v>
      </c>
      <c r="H148" s="1" t="s">
        <v>524</v>
      </c>
      <c r="I148" s="1">
        <f t="shared" si="10"/>
        <v>1</v>
      </c>
      <c r="J148" s="1">
        <f t="shared" si="11"/>
        <v>0</v>
      </c>
      <c r="K148" s="1">
        <f t="shared" si="12"/>
        <v>0</v>
      </c>
      <c r="L148" s="1">
        <f t="shared" si="13"/>
        <v>0</v>
      </c>
      <c r="M148" s="1" t="str">
        <f t="shared" si="14"/>
        <v>有用信息</v>
      </c>
    </row>
    <row r="149" spans="1:13" x14ac:dyDescent="0.2">
      <c r="A149" s="1" t="s">
        <v>525</v>
      </c>
      <c r="B149" s="2">
        <v>46095</v>
      </c>
      <c r="C149" s="3" t="s">
        <v>182</v>
      </c>
      <c r="D149" s="1">
        <v>456</v>
      </c>
      <c r="E149" s="1">
        <v>67</v>
      </c>
      <c r="F149" s="1">
        <v>38</v>
      </c>
      <c r="G149" s="1" t="s">
        <v>526</v>
      </c>
      <c r="H149" s="1" t="s">
        <v>527</v>
      </c>
      <c r="I149" s="1">
        <f t="shared" si="10"/>
        <v>1</v>
      </c>
      <c r="J149" s="1">
        <f t="shared" si="11"/>
        <v>1</v>
      </c>
      <c r="K149" s="1">
        <f t="shared" si="12"/>
        <v>0</v>
      </c>
      <c r="L149" s="1">
        <f t="shared" si="13"/>
        <v>0</v>
      </c>
      <c r="M149" s="1" t="str">
        <f t="shared" si="14"/>
        <v>有用信息</v>
      </c>
    </row>
    <row r="150" spans="1:13" x14ac:dyDescent="0.2">
      <c r="A150" s="1" t="s">
        <v>528</v>
      </c>
      <c r="B150" s="2">
        <v>46092</v>
      </c>
      <c r="C150" s="3" t="s">
        <v>186</v>
      </c>
      <c r="D150" s="1">
        <v>298</v>
      </c>
      <c r="E150" s="1">
        <v>26</v>
      </c>
      <c r="F150" s="1">
        <v>16</v>
      </c>
      <c r="G150" s="1" t="s">
        <v>529</v>
      </c>
      <c r="H150" s="1" t="s">
        <v>530</v>
      </c>
      <c r="I150" s="1">
        <f t="shared" si="10"/>
        <v>0</v>
      </c>
      <c r="J150" s="1">
        <f t="shared" si="11"/>
        <v>1</v>
      </c>
      <c r="K150" s="1">
        <f t="shared" si="12"/>
        <v>0</v>
      </c>
      <c r="L150" s="1">
        <f t="shared" si="13"/>
        <v>0</v>
      </c>
      <c r="M150" s="1" t="str">
        <f t="shared" si="14"/>
        <v>有用信息</v>
      </c>
    </row>
    <row r="151" spans="1:13" x14ac:dyDescent="0.2">
      <c r="A151" s="1" t="s">
        <v>531</v>
      </c>
      <c r="B151" s="2">
        <v>46096</v>
      </c>
      <c r="C151" s="3" t="s">
        <v>190</v>
      </c>
      <c r="D151" s="1">
        <v>234</v>
      </c>
      <c r="E151" s="1">
        <v>34</v>
      </c>
      <c r="F151" s="1">
        <v>14</v>
      </c>
      <c r="G151" s="1" t="s">
        <v>532</v>
      </c>
      <c r="H151" s="1" t="s">
        <v>533</v>
      </c>
      <c r="I151" s="1">
        <f t="shared" si="10"/>
        <v>1</v>
      </c>
      <c r="J151" s="1">
        <f t="shared" si="11"/>
        <v>0</v>
      </c>
      <c r="K151" s="1">
        <f t="shared" si="12"/>
        <v>0</v>
      </c>
      <c r="L151" s="1">
        <f t="shared" si="13"/>
        <v>0</v>
      </c>
      <c r="M151" s="1" t="str">
        <f t="shared" si="14"/>
        <v>有用信息</v>
      </c>
    </row>
    <row r="152" spans="1:13" x14ac:dyDescent="0.2">
      <c r="A152" s="1" t="s">
        <v>534</v>
      </c>
      <c r="B152" s="2">
        <v>46093</v>
      </c>
      <c r="C152" s="3" t="s">
        <v>194</v>
      </c>
      <c r="D152" s="1">
        <v>367</v>
      </c>
      <c r="E152" s="1">
        <v>31</v>
      </c>
      <c r="F152" s="1">
        <v>20</v>
      </c>
      <c r="G152" s="1" t="s">
        <v>535</v>
      </c>
      <c r="H152" s="1" t="s">
        <v>536</v>
      </c>
      <c r="I152" s="1">
        <f t="shared" si="10"/>
        <v>0</v>
      </c>
      <c r="J152" s="1">
        <f t="shared" si="11"/>
        <v>1</v>
      </c>
      <c r="K152" s="1">
        <f t="shared" si="12"/>
        <v>0</v>
      </c>
      <c r="L152" s="1">
        <f t="shared" si="13"/>
        <v>0</v>
      </c>
      <c r="M152" s="1" t="str">
        <f t="shared" si="14"/>
        <v>有用信息</v>
      </c>
    </row>
    <row r="153" spans="1:13" x14ac:dyDescent="0.2">
      <c r="A153" s="1" t="s">
        <v>537</v>
      </c>
      <c r="B153" s="2">
        <v>46095</v>
      </c>
      <c r="C153" s="3" t="s">
        <v>198</v>
      </c>
      <c r="D153" s="1">
        <v>289</v>
      </c>
      <c r="E153" s="1">
        <v>28</v>
      </c>
      <c r="F153" s="1">
        <v>14</v>
      </c>
      <c r="G153" s="1" t="s">
        <v>538</v>
      </c>
      <c r="H153" s="1" t="s">
        <v>539</v>
      </c>
      <c r="I153" s="1">
        <f t="shared" si="10"/>
        <v>0</v>
      </c>
      <c r="J153" s="1">
        <f t="shared" si="11"/>
        <v>0</v>
      </c>
      <c r="K153" s="1">
        <f t="shared" si="12"/>
        <v>0</v>
      </c>
      <c r="L153" s="1">
        <f t="shared" si="13"/>
        <v>0</v>
      </c>
      <c r="M153" s="1" t="str">
        <f t="shared" si="14"/>
        <v>无用信息</v>
      </c>
    </row>
    <row r="154" spans="1:13" x14ac:dyDescent="0.2">
      <c r="A154" s="1" t="s">
        <v>540</v>
      </c>
      <c r="B154" s="2">
        <v>46091</v>
      </c>
      <c r="C154" s="3" t="s">
        <v>202</v>
      </c>
      <c r="D154" s="1">
        <v>234</v>
      </c>
      <c r="E154" s="1">
        <v>45</v>
      </c>
      <c r="F154" s="1">
        <v>15</v>
      </c>
      <c r="G154" s="1" t="s">
        <v>541</v>
      </c>
      <c r="H154" s="1" t="s">
        <v>542</v>
      </c>
      <c r="I154" s="1">
        <f t="shared" si="10"/>
        <v>0</v>
      </c>
      <c r="J154" s="1">
        <f t="shared" si="11"/>
        <v>1</v>
      </c>
      <c r="K154" s="1">
        <f t="shared" si="12"/>
        <v>0</v>
      </c>
      <c r="L154" s="1">
        <f t="shared" si="13"/>
        <v>1</v>
      </c>
      <c r="M154" s="1" t="str">
        <f t="shared" si="14"/>
        <v>有用信息</v>
      </c>
    </row>
    <row r="155" spans="1:13" x14ac:dyDescent="0.2">
      <c r="A155" s="1" t="s">
        <v>543</v>
      </c>
      <c r="B155" s="2">
        <v>46094</v>
      </c>
      <c r="C155" s="3" t="s">
        <v>206</v>
      </c>
      <c r="D155" s="1">
        <v>378</v>
      </c>
      <c r="E155" s="1">
        <v>44</v>
      </c>
      <c r="F155" s="1">
        <v>27</v>
      </c>
      <c r="G155" s="1" t="s">
        <v>544</v>
      </c>
      <c r="H155" s="1" t="s">
        <v>545</v>
      </c>
      <c r="I155" s="1">
        <f t="shared" si="10"/>
        <v>1</v>
      </c>
      <c r="J155" s="1">
        <f t="shared" si="11"/>
        <v>1</v>
      </c>
      <c r="K155" s="1">
        <f t="shared" si="12"/>
        <v>0</v>
      </c>
      <c r="L155" s="1">
        <f t="shared" si="13"/>
        <v>0</v>
      </c>
      <c r="M155" s="1" t="str">
        <f t="shared" si="14"/>
        <v>有用信息</v>
      </c>
    </row>
    <row r="156" spans="1:13" x14ac:dyDescent="0.2">
      <c r="A156" s="1" t="s">
        <v>546</v>
      </c>
      <c r="B156" s="2">
        <v>46096</v>
      </c>
      <c r="C156" s="3" t="s">
        <v>210</v>
      </c>
      <c r="D156" s="1">
        <v>423</v>
      </c>
      <c r="E156" s="1">
        <v>31</v>
      </c>
      <c r="F156" s="1">
        <v>22</v>
      </c>
      <c r="G156" s="1" t="s">
        <v>547</v>
      </c>
      <c r="H156" s="1" t="s">
        <v>548</v>
      </c>
      <c r="I156" s="1">
        <f t="shared" si="10"/>
        <v>1</v>
      </c>
      <c r="J156" s="1">
        <f t="shared" si="11"/>
        <v>0</v>
      </c>
      <c r="K156" s="1">
        <f t="shared" si="12"/>
        <v>0</v>
      </c>
      <c r="L156" s="1">
        <f t="shared" si="13"/>
        <v>0</v>
      </c>
      <c r="M156" s="1" t="str">
        <f t="shared" si="14"/>
        <v>有用信息</v>
      </c>
    </row>
    <row r="157" spans="1:13" x14ac:dyDescent="0.2">
      <c r="A157" s="1" t="s">
        <v>549</v>
      </c>
      <c r="B157" s="2">
        <v>46097</v>
      </c>
      <c r="C157" s="1" t="s">
        <v>14</v>
      </c>
      <c r="D157" s="1">
        <v>289</v>
      </c>
      <c r="E157" s="1">
        <v>31</v>
      </c>
      <c r="F157" s="1">
        <v>16</v>
      </c>
      <c r="G157" s="1" t="s">
        <v>550</v>
      </c>
      <c r="H157" s="1" t="s">
        <v>551</v>
      </c>
      <c r="I157" s="1">
        <f t="shared" si="10"/>
        <v>0</v>
      </c>
      <c r="J157" s="1">
        <f t="shared" si="11"/>
        <v>1</v>
      </c>
      <c r="K157" s="1">
        <f t="shared" si="12"/>
        <v>0</v>
      </c>
      <c r="L157" s="1">
        <f t="shared" si="13"/>
        <v>0</v>
      </c>
      <c r="M157" s="1" t="str">
        <f t="shared" si="14"/>
        <v>有用信息</v>
      </c>
    </row>
    <row r="158" spans="1:13" x14ac:dyDescent="0.2">
      <c r="A158" s="1" t="s">
        <v>552</v>
      </c>
      <c r="B158" s="2">
        <v>46098</v>
      </c>
      <c r="C158" s="1" t="s">
        <v>18</v>
      </c>
      <c r="D158" s="1">
        <v>523</v>
      </c>
      <c r="E158" s="1">
        <v>58</v>
      </c>
      <c r="F158" s="1">
        <v>41</v>
      </c>
      <c r="G158" s="1" t="s">
        <v>553</v>
      </c>
      <c r="H158" s="1" t="s">
        <v>554</v>
      </c>
      <c r="I158" s="1">
        <f t="shared" si="10"/>
        <v>1</v>
      </c>
      <c r="J158" s="1">
        <f t="shared" si="11"/>
        <v>1</v>
      </c>
      <c r="K158" s="1">
        <f t="shared" si="12"/>
        <v>0</v>
      </c>
      <c r="L158" s="1">
        <f t="shared" si="13"/>
        <v>0</v>
      </c>
      <c r="M158" s="1" t="str">
        <f t="shared" si="14"/>
        <v>有用信息</v>
      </c>
    </row>
    <row r="159" spans="1:13" x14ac:dyDescent="0.2">
      <c r="A159" s="1" t="s">
        <v>555</v>
      </c>
      <c r="B159" s="2">
        <v>46096</v>
      </c>
      <c r="C159" s="1" t="s">
        <v>22</v>
      </c>
      <c r="D159" s="1">
        <v>412</v>
      </c>
      <c r="E159" s="1">
        <v>103</v>
      </c>
      <c r="F159" s="1">
        <v>38</v>
      </c>
      <c r="G159" s="1" t="s">
        <v>556</v>
      </c>
      <c r="H159" s="1" t="s">
        <v>557</v>
      </c>
      <c r="I159" s="1">
        <f t="shared" si="10"/>
        <v>0</v>
      </c>
      <c r="J159" s="1">
        <f t="shared" si="11"/>
        <v>1</v>
      </c>
      <c r="K159" s="1">
        <f t="shared" si="12"/>
        <v>0</v>
      </c>
      <c r="L159" s="1">
        <f t="shared" si="13"/>
        <v>0</v>
      </c>
      <c r="M159" s="1" t="str">
        <f t="shared" si="14"/>
        <v>有用信息</v>
      </c>
    </row>
    <row r="160" spans="1:13" x14ac:dyDescent="0.2">
      <c r="A160" s="1" t="s">
        <v>558</v>
      </c>
      <c r="B160" s="2">
        <v>46099</v>
      </c>
      <c r="C160" s="1" t="s">
        <v>26</v>
      </c>
      <c r="D160" s="1">
        <v>345</v>
      </c>
      <c r="E160" s="1">
        <v>28</v>
      </c>
      <c r="F160" s="1">
        <v>18</v>
      </c>
      <c r="G160" s="1" t="s">
        <v>559</v>
      </c>
      <c r="H160" s="1" t="s">
        <v>560</v>
      </c>
      <c r="I160" s="1">
        <f t="shared" si="10"/>
        <v>1</v>
      </c>
      <c r="J160" s="1">
        <f t="shared" si="11"/>
        <v>0</v>
      </c>
      <c r="K160" s="1">
        <f t="shared" si="12"/>
        <v>0</v>
      </c>
      <c r="L160" s="1">
        <f t="shared" si="13"/>
        <v>0</v>
      </c>
      <c r="M160" s="1" t="str">
        <f t="shared" si="14"/>
        <v>有用信息</v>
      </c>
    </row>
    <row r="161" spans="1:13" x14ac:dyDescent="0.2">
      <c r="A161" s="1" t="s">
        <v>561</v>
      </c>
      <c r="B161" s="2">
        <v>46097</v>
      </c>
      <c r="C161" s="1" t="s">
        <v>30</v>
      </c>
      <c r="D161" s="1">
        <v>278</v>
      </c>
      <c r="E161" s="1">
        <v>47</v>
      </c>
      <c r="F161" s="1">
        <v>21</v>
      </c>
      <c r="G161" s="1" t="s">
        <v>562</v>
      </c>
      <c r="H161" s="1" t="s">
        <v>563</v>
      </c>
      <c r="I161" s="1">
        <f t="shared" si="10"/>
        <v>0</v>
      </c>
      <c r="J161" s="1">
        <f t="shared" si="11"/>
        <v>1</v>
      </c>
      <c r="K161" s="1">
        <f t="shared" si="12"/>
        <v>0</v>
      </c>
      <c r="L161" s="1">
        <f t="shared" si="13"/>
        <v>0</v>
      </c>
      <c r="M161" s="1" t="str">
        <f t="shared" si="14"/>
        <v>有用信息</v>
      </c>
    </row>
    <row r="162" spans="1:13" x14ac:dyDescent="0.2">
      <c r="A162" s="1" t="s">
        <v>564</v>
      </c>
      <c r="B162" s="2">
        <v>46098</v>
      </c>
      <c r="C162" s="1" t="s">
        <v>34</v>
      </c>
      <c r="D162" s="1">
        <v>489</v>
      </c>
      <c r="E162" s="1">
        <v>44</v>
      </c>
      <c r="F162" s="1">
        <v>32</v>
      </c>
      <c r="G162" s="1" t="s">
        <v>565</v>
      </c>
      <c r="H162" s="1" t="s">
        <v>566</v>
      </c>
      <c r="I162" s="1">
        <f t="shared" si="10"/>
        <v>1</v>
      </c>
      <c r="J162" s="1">
        <f t="shared" si="11"/>
        <v>1</v>
      </c>
      <c r="K162" s="1">
        <f t="shared" si="12"/>
        <v>0</v>
      </c>
      <c r="L162" s="1">
        <f t="shared" si="13"/>
        <v>0</v>
      </c>
      <c r="M162" s="1" t="str">
        <f t="shared" si="14"/>
        <v>有用信息</v>
      </c>
    </row>
    <row r="163" spans="1:13" x14ac:dyDescent="0.2">
      <c r="A163" s="1" t="s">
        <v>567</v>
      </c>
      <c r="B163" s="2">
        <v>46096</v>
      </c>
      <c r="C163" s="1" t="s">
        <v>38</v>
      </c>
      <c r="D163" s="1">
        <v>345</v>
      </c>
      <c r="E163" s="1">
        <v>39</v>
      </c>
      <c r="F163" s="1">
        <v>22</v>
      </c>
      <c r="G163" s="1" t="s">
        <v>568</v>
      </c>
      <c r="H163" s="1" t="s">
        <v>569</v>
      </c>
      <c r="I163" s="1">
        <f t="shared" si="10"/>
        <v>0</v>
      </c>
      <c r="J163" s="1">
        <f t="shared" si="11"/>
        <v>1</v>
      </c>
      <c r="K163" s="1">
        <f t="shared" si="12"/>
        <v>0</v>
      </c>
      <c r="L163" s="1">
        <f t="shared" si="13"/>
        <v>0</v>
      </c>
      <c r="M163" s="1" t="str">
        <f t="shared" si="14"/>
        <v>有用信息</v>
      </c>
    </row>
    <row r="164" spans="1:13" x14ac:dyDescent="0.2">
      <c r="A164" s="1" t="s">
        <v>570</v>
      </c>
      <c r="B164" s="2">
        <v>46099</v>
      </c>
      <c r="C164" s="1" t="s">
        <v>50</v>
      </c>
      <c r="D164" s="1">
        <v>267</v>
      </c>
      <c r="E164" s="1">
        <v>43</v>
      </c>
      <c r="F164" s="1">
        <v>17</v>
      </c>
      <c r="G164" s="1" t="s">
        <v>571</v>
      </c>
      <c r="H164" s="1" t="s">
        <v>572</v>
      </c>
      <c r="I164" s="1">
        <f t="shared" si="10"/>
        <v>1</v>
      </c>
      <c r="J164" s="1">
        <f t="shared" si="11"/>
        <v>0</v>
      </c>
      <c r="K164" s="1">
        <f t="shared" si="12"/>
        <v>0</v>
      </c>
      <c r="L164" s="1">
        <f t="shared" si="13"/>
        <v>0</v>
      </c>
      <c r="M164" s="1" t="str">
        <f t="shared" si="14"/>
        <v>有用信息</v>
      </c>
    </row>
    <row r="165" spans="1:13" x14ac:dyDescent="0.2">
      <c r="A165" s="1" t="s">
        <v>573</v>
      </c>
      <c r="B165" s="2">
        <v>46097</v>
      </c>
      <c r="C165" s="1" t="s">
        <v>46</v>
      </c>
      <c r="D165" s="1">
        <v>678</v>
      </c>
      <c r="E165" s="1">
        <v>96</v>
      </c>
      <c r="F165" s="1">
        <v>59</v>
      </c>
      <c r="G165" s="1" t="s">
        <v>335</v>
      </c>
      <c r="H165" s="1" t="s">
        <v>574</v>
      </c>
      <c r="I165" s="1">
        <f t="shared" si="10"/>
        <v>1</v>
      </c>
      <c r="J165" s="1">
        <f t="shared" si="11"/>
        <v>0</v>
      </c>
      <c r="K165" s="1">
        <f t="shared" si="12"/>
        <v>0</v>
      </c>
      <c r="L165" s="1">
        <f t="shared" si="13"/>
        <v>0</v>
      </c>
      <c r="M165" s="1" t="str">
        <f t="shared" si="14"/>
        <v>有用信息</v>
      </c>
    </row>
    <row r="166" spans="1:13" x14ac:dyDescent="0.2">
      <c r="A166" s="1" t="s">
        <v>575</v>
      </c>
      <c r="B166" s="2">
        <v>46098</v>
      </c>
      <c r="C166" s="1" t="s">
        <v>58</v>
      </c>
      <c r="D166" s="1">
        <v>412</v>
      </c>
      <c r="E166" s="1">
        <v>36</v>
      </c>
      <c r="F166" s="1">
        <v>25</v>
      </c>
      <c r="G166" s="1" t="s">
        <v>576</v>
      </c>
      <c r="H166" s="1" t="s">
        <v>577</v>
      </c>
      <c r="I166" s="1">
        <f t="shared" si="10"/>
        <v>0</v>
      </c>
      <c r="J166" s="1">
        <f t="shared" si="11"/>
        <v>1</v>
      </c>
      <c r="K166" s="1">
        <f t="shared" si="12"/>
        <v>0</v>
      </c>
      <c r="L166" s="1">
        <f t="shared" si="13"/>
        <v>0</v>
      </c>
      <c r="M166" s="1" t="str">
        <f t="shared" si="14"/>
        <v>有用信息</v>
      </c>
    </row>
    <row r="167" spans="1:13" x14ac:dyDescent="0.2">
      <c r="A167" s="1" t="s">
        <v>578</v>
      </c>
      <c r="B167" s="2">
        <v>46096</v>
      </c>
      <c r="C167" s="1" t="s">
        <v>54</v>
      </c>
      <c r="D167" s="1">
        <v>378</v>
      </c>
      <c r="E167" s="1">
        <v>52</v>
      </c>
      <c r="F167" s="1">
        <v>31</v>
      </c>
      <c r="G167" s="1" t="s">
        <v>579</v>
      </c>
      <c r="H167" s="1" t="s">
        <v>580</v>
      </c>
      <c r="I167" s="1">
        <f t="shared" si="10"/>
        <v>0</v>
      </c>
      <c r="J167" s="1">
        <f t="shared" si="11"/>
        <v>1</v>
      </c>
      <c r="K167" s="1">
        <f t="shared" si="12"/>
        <v>0</v>
      </c>
      <c r="L167" s="1">
        <f t="shared" si="13"/>
        <v>0</v>
      </c>
      <c r="M167" s="1" t="str">
        <f t="shared" si="14"/>
        <v>有用信息</v>
      </c>
    </row>
    <row r="168" spans="1:13" x14ac:dyDescent="0.2">
      <c r="A168" s="1" t="s">
        <v>581</v>
      </c>
      <c r="B168" s="2">
        <v>46099</v>
      </c>
      <c r="C168" s="1" t="s">
        <v>62</v>
      </c>
      <c r="D168" s="1">
        <v>234</v>
      </c>
      <c r="E168" s="1">
        <v>51</v>
      </c>
      <c r="F168" s="1">
        <v>14</v>
      </c>
      <c r="G168" s="1" t="s">
        <v>582</v>
      </c>
      <c r="H168" s="1" t="s">
        <v>583</v>
      </c>
      <c r="I168" s="1">
        <f t="shared" si="10"/>
        <v>1</v>
      </c>
      <c r="J168" s="1">
        <f t="shared" si="11"/>
        <v>0</v>
      </c>
      <c r="K168" s="1">
        <f t="shared" si="12"/>
        <v>0</v>
      </c>
      <c r="L168" s="1">
        <f t="shared" si="13"/>
        <v>0</v>
      </c>
      <c r="M168" s="1" t="str">
        <f t="shared" si="14"/>
        <v>有用信息</v>
      </c>
    </row>
    <row r="169" spans="1:13" x14ac:dyDescent="0.2">
      <c r="A169" s="1" t="s">
        <v>584</v>
      </c>
      <c r="B169" s="2">
        <v>46097</v>
      </c>
      <c r="C169" s="1" t="s">
        <v>42</v>
      </c>
      <c r="D169" s="1">
        <v>567</v>
      </c>
      <c r="E169" s="1">
        <v>48</v>
      </c>
      <c r="F169" s="1">
        <v>39</v>
      </c>
      <c r="G169" s="1" t="s">
        <v>585</v>
      </c>
      <c r="H169" s="1" t="s">
        <v>438</v>
      </c>
      <c r="I169" s="1">
        <f t="shared" si="10"/>
        <v>0</v>
      </c>
      <c r="J169" s="1">
        <f t="shared" si="11"/>
        <v>1</v>
      </c>
      <c r="K169" s="1">
        <f t="shared" si="12"/>
        <v>0</v>
      </c>
      <c r="L169" s="1">
        <f t="shared" si="13"/>
        <v>0</v>
      </c>
      <c r="M169" s="1" t="str">
        <f t="shared" si="14"/>
        <v>有用信息</v>
      </c>
    </row>
    <row r="170" spans="1:13" x14ac:dyDescent="0.2">
      <c r="A170" s="1" t="s">
        <v>586</v>
      </c>
      <c r="B170" s="2">
        <v>46098</v>
      </c>
      <c r="C170" s="1" t="s">
        <v>66</v>
      </c>
      <c r="D170" s="1">
        <v>489</v>
      </c>
      <c r="E170" s="1">
        <v>61</v>
      </c>
      <c r="F170" s="1">
        <v>42</v>
      </c>
      <c r="G170" s="1" t="s">
        <v>587</v>
      </c>
      <c r="H170" s="1" t="s">
        <v>588</v>
      </c>
      <c r="I170" s="1">
        <f t="shared" si="10"/>
        <v>0</v>
      </c>
      <c r="J170" s="1">
        <f t="shared" si="11"/>
        <v>1</v>
      </c>
      <c r="K170" s="1">
        <f t="shared" si="12"/>
        <v>0</v>
      </c>
      <c r="L170" s="1">
        <f t="shared" si="13"/>
        <v>0</v>
      </c>
      <c r="M170" s="1" t="str">
        <f t="shared" si="14"/>
        <v>有用信息</v>
      </c>
    </row>
    <row r="171" spans="1:13" x14ac:dyDescent="0.2">
      <c r="A171" s="1" t="s">
        <v>589</v>
      </c>
      <c r="B171" s="2">
        <v>46096</v>
      </c>
      <c r="C171" s="1" t="s">
        <v>70</v>
      </c>
      <c r="D171" s="1">
        <v>345</v>
      </c>
      <c r="E171" s="1">
        <v>52</v>
      </c>
      <c r="F171" s="1">
        <v>24</v>
      </c>
      <c r="G171" s="1" t="s">
        <v>590</v>
      </c>
      <c r="H171" s="1" t="s">
        <v>444</v>
      </c>
      <c r="I171" s="1">
        <f t="shared" si="10"/>
        <v>0</v>
      </c>
      <c r="J171" s="1">
        <f t="shared" si="11"/>
        <v>1</v>
      </c>
      <c r="K171" s="1">
        <f t="shared" si="12"/>
        <v>0</v>
      </c>
      <c r="L171" s="1">
        <f t="shared" si="13"/>
        <v>0</v>
      </c>
      <c r="M171" s="1" t="str">
        <f t="shared" si="14"/>
        <v>有用信息</v>
      </c>
    </row>
    <row r="172" spans="1:13" x14ac:dyDescent="0.2">
      <c r="A172" s="1" t="s">
        <v>591</v>
      </c>
      <c r="B172" s="2">
        <v>46099</v>
      </c>
      <c r="C172" s="1" t="s">
        <v>74</v>
      </c>
      <c r="D172" s="1">
        <v>289</v>
      </c>
      <c r="E172" s="1">
        <v>32</v>
      </c>
      <c r="F172" s="1">
        <v>18</v>
      </c>
      <c r="G172" s="1" t="s">
        <v>592</v>
      </c>
      <c r="H172" s="1" t="s">
        <v>593</v>
      </c>
      <c r="I172" s="1">
        <f t="shared" si="10"/>
        <v>1</v>
      </c>
      <c r="J172" s="1">
        <f t="shared" si="11"/>
        <v>0</v>
      </c>
      <c r="K172" s="1">
        <f t="shared" si="12"/>
        <v>0</v>
      </c>
      <c r="L172" s="1">
        <f t="shared" si="13"/>
        <v>0</v>
      </c>
      <c r="M172" s="1" t="str">
        <f t="shared" si="14"/>
        <v>有用信息</v>
      </c>
    </row>
    <row r="173" spans="1:13" x14ac:dyDescent="0.2">
      <c r="A173" s="1" t="s">
        <v>594</v>
      </c>
      <c r="B173" s="2">
        <v>46097</v>
      </c>
      <c r="C173" s="1" t="s">
        <v>78</v>
      </c>
      <c r="D173" s="1">
        <v>412</v>
      </c>
      <c r="E173" s="1">
        <v>37</v>
      </c>
      <c r="F173" s="1">
        <v>26</v>
      </c>
      <c r="G173" s="1" t="s">
        <v>595</v>
      </c>
      <c r="H173" s="1" t="s">
        <v>596</v>
      </c>
      <c r="I173" s="1">
        <f t="shared" si="10"/>
        <v>0</v>
      </c>
      <c r="J173" s="1">
        <f t="shared" si="11"/>
        <v>1</v>
      </c>
      <c r="K173" s="1">
        <f t="shared" si="12"/>
        <v>0</v>
      </c>
      <c r="L173" s="1">
        <f t="shared" si="13"/>
        <v>0</v>
      </c>
      <c r="M173" s="1" t="str">
        <f t="shared" si="14"/>
        <v>有用信息</v>
      </c>
    </row>
    <row r="174" spans="1:13" x14ac:dyDescent="0.2">
      <c r="A174" s="1" t="s">
        <v>597</v>
      </c>
      <c r="B174" s="2">
        <v>46098</v>
      </c>
      <c r="C174" s="1" t="s">
        <v>82</v>
      </c>
      <c r="D174" s="1">
        <v>456</v>
      </c>
      <c r="E174" s="1">
        <v>44</v>
      </c>
      <c r="F174" s="1">
        <v>33</v>
      </c>
      <c r="G174" s="1" t="s">
        <v>598</v>
      </c>
      <c r="H174" s="1" t="s">
        <v>599</v>
      </c>
      <c r="I174" s="1">
        <f t="shared" si="10"/>
        <v>0</v>
      </c>
      <c r="J174" s="1">
        <f t="shared" si="11"/>
        <v>0</v>
      </c>
      <c r="K174" s="1">
        <f t="shared" si="12"/>
        <v>0</v>
      </c>
      <c r="L174" s="1">
        <f t="shared" si="13"/>
        <v>0</v>
      </c>
      <c r="M174" s="1" t="str">
        <f t="shared" si="14"/>
        <v>无用信息</v>
      </c>
    </row>
    <row r="175" spans="1:13" x14ac:dyDescent="0.2">
      <c r="A175" s="1" t="s">
        <v>600</v>
      </c>
      <c r="B175" s="2">
        <v>46096</v>
      </c>
      <c r="C175" s="1" t="s">
        <v>86</v>
      </c>
      <c r="D175" s="1">
        <v>378</v>
      </c>
      <c r="E175" s="1">
        <v>51</v>
      </c>
      <c r="F175" s="1">
        <v>29</v>
      </c>
      <c r="G175" s="1" t="s">
        <v>601</v>
      </c>
      <c r="H175" s="1" t="s">
        <v>602</v>
      </c>
      <c r="I175" s="1">
        <f t="shared" si="10"/>
        <v>0</v>
      </c>
      <c r="J175" s="1">
        <f t="shared" si="11"/>
        <v>1</v>
      </c>
      <c r="K175" s="1">
        <f t="shared" si="12"/>
        <v>0</v>
      </c>
      <c r="L175" s="1">
        <f t="shared" si="13"/>
        <v>0</v>
      </c>
      <c r="M175" s="1" t="str">
        <f t="shared" si="14"/>
        <v>有用信息</v>
      </c>
    </row>
    <row r="176" spans="1:13" x14ac:dyDescent="0.2">
      <c r="A176" s="1" t="s">
        <v>603</v>
      </c>
      <c r="B176" s="2">
        <v>46099</v>
      </c>
      <c r="C176" s="1" t="s">
        <v>90</v>
      </c>
      <c r="D176" s="1">
        <v>423</v>
      </c>
      <c r="E176" s="1">
        <v>56</v>
      </c>
      <c r="F176" s="1">
        <v>34</v>
      </c>
      <c r="G176" s="1" t="s">
        <v>604</v>
      </c>
      <c r="H176" s="1" t="s">
        <v>605</v>
      </c>
      <c r="I176" s="1">
        <f t="shared" si="10"/>
        <v>1</v>
      </c>
      <c r="J176" s="1">
        <f t="shared" si="11"/>
        <v>0</v>
      </c>
      <c r="K176" s="1">
        <f t="shared" si="12"/>
        <v>0</v>
      </c>
      <c r="L176" s="1">
        <f t="shared" si="13"/>
        <v>0</v>
      </c>
      <c r="M176" s="1" t="str">
        <f t="shared" si="14"/>
        <v>有用信息</v>
      </c>
    </row>
    <row r="177" spans="1:13" x14ac:dyDescent="0.2">
      <c r="A177" s="1" t="s">
        <v>606</v>
      </c>
      <c r="B177" s="2">
        <v>46097</v>
      </c>
      <c r="C177" s="1" t="s">
        <v>94</v>
      </c>
      <c r="D177" s="1">
        <v>234</v>
      </c>
      <c r="E177" s="1">
        <v>38</v>
      </c>
      <c r="F177" s="1">
        <v>13</v>
      </c>
      <c r="G177" s="1" t="s">
        <v>607</v>
      </c>
      <c r="H177" s="1" t="s">
        <v>608</v>
      </c>
      <c r="I177" s="1">
        <f t="shared" si="10"/>
        <v>0</v>
      </c>
      <c r="J177" s="1">
        <f t="shared" si="11"/>
        <v>1</v>
      </c>
      <c r="K177" s="1">
        <f t="shared" si="12"/>
        <v>0</v>
      </c>
      <c r="L177" s="1">
        <f t="shared" si="13"/>
        <v>0</v>
      </c>
      <c r="M177" s="1" t="str">
        <f t="shared" si="14"/>
        <v>有用信息</v>
      </c>
    </row>
    <row r="178" spans="1:13" x14ac:dyDescent="0.2">
      <c r="A178" s="1" t="s">
        <v>609</v>
      </c>
      <c r="B178" s="2">
        <v>46098</v>
      </c>
      <c r="C178" s="1" t="s">
        <v>98</v>
      </c>
      <c r="D178" s="1">
        <v>356</v>
      </c>
      <c r="E178" s="1">
        <v>41</v>
      </c>
      <c r="F178" s="1">
        <v>27</v>
      </c>
      <c r="G178" s="1" t="s">
        <v>610</v>
      </c>
      <c r="H178" s="1" t="s">
        <v>611</v>
      </c>
      <c r="I178" s="1">
        <f t="shared" si="10"/>
        <v>1</v>
      </c>
      <c r="J178" s="1">
        <f t="shared" si="11"/>
        <v>0</v>
      </c>
      <c r="K178" s="1">
        <f t="shared" si="12"/>
        <v>0</v>
      </c>
      <c r="L178" s="1">
        <f t="shared" si="13"/>
        <v>0</v>
      </c>
      <c r="M178" s="1" t="str">
        <f t="shared" si="14"/>
        <v>有用信息</v>
      </c>
    </row>
    <row r="179" spans="1:13" x14ac:dyDescent="0.2">
      <c r="A179" s="1" t="s">
        <v>612</v>
      </c>
      <c r="B179" s="2">
        <v>46096</v>
      </c>
      <c r="C179" s="1" t="s">
        <v>102</v>
      </c>
      <c r="D179" s="1">
        <v>534</v>
      </c>
      <c r="E179" s="1">
        <v>62</v>
      </c>
      <c r="F179" s="1">
        <v>43</v>
      </c>
      <c r="G179" s="1" t="s">
        <v>613</v>
      </c>
      <c r="H179" s="1" t="s">
        <v>614</v>
      </c>
      <c r="I179" s="1">
        <f t="shared" si="10"/>
        <v>0</v>
      </c>
      <c r="J179" s="1">
        <f t="shared" si="11"/>
        <v>1</v>
      </c>
      <c r="K179" s="1">
        <f t="shared" si="12"/>
        <v>0</v>
      </c>
      <c r="L179" s="1">
        <f t="shared" si="13"/>
        <v>0</v>
      </c>
      <c r="M179" s="1" t="str">
        <f t="shared" si="14"/>
        <v>有用信息</v>
      </c>
    </row>
    <row r="180" spans="1:13" x14ac:dyDescent="0.2">
      <c r="A180" s="1" t="s">
        <v>615</v>
      </c>
      <c r="B180" s="2">
        <v>46099</v>
      </c>
      <c r="C180" s="1" t="s">
        <v>106</v>
      </c>
      <c r="D180" s="1">
        <v>289</v>
      </c>
      <c r="E180" s="1">
        <v>59</v>
      </c>
      <c r="F180" s="1">
        <v>18</v>
      </c>
      <c r="G180" s="1" t="s">
        <v>616</v>
      </c>
      <c r="H180" s="1" t="s">
        <v>617</v>
      </c>
      <c r="I180" s="1">
        <f t="shared" si="10"/>
        <v>1</v>
      </c>
      <c r="J180" s="1">
        <f t="shared" si="11"/>
        <v>0</v>
      </c>
      <c r="K180" s="1">
        <f t="shared" si="12"/>
        <v>0</v>
      </c>
      <c r="L180" s="1">
        <f t="shared" si="13"/>
        <v>0</v>
      </c>
      <c r="M180" s="1" t="str">
        <f t="shared" si="14"/>
        <v>有用信息</v>
      </c>
    </row>
    <row r="181" spans="1:13" x14ac:dyDescent="0.2">
      <c r="A181" s="1" t="s">
        <v>618</v>
      </c>
      <c r="B181" s="2">
        <v>46097</v>
      </c>
      <c r="C181" s="1" t="s">
        <v>110</v>
      </c>
      <c r="D181" s="1">
        <v>245</v>
      </c>
      <c r="E181" s="1">
        <v>36</v>
      </c>
      <c r="F181" s="1">
        <v>15</v>
      </c>
      <c r="G181" s="1" t="s">
        <v>619</v>
      </c>
      <c r="H181" s="1" t="s">
        <v>620</v>
      </c>
      <c r="I181" s="1">
        <f t="shared" si="10"/>
        <v>0</v>
      </c>
      <c r="J181" s="1">
        <f t="shared" si="11"/>
        <v>1</v>
      </c>
      <c r="K181" s="1">
        <f t="shared" si="12"/>
        <v>0</v>
      </c>
      <c r="L181" s="1">
        <f t="shared" si="13"/>
        <v>0</v>
      </c>
      <c r="M181" s="1" t="str">
        <f t="shared" si="14"/>
        <v>有用信息</v>
      </c>
    </row>
    <row r="182" spans="1:13" x14ac:dyDescent="0.2">
      <c r="A182" s="1" t="s">
        <v>621</v>
      </c>
      <c r="B182" s="2">
        <v>46098</v>
      </c>
      <c r="C182" s="1" t="s">
        <v>114</v>
      </c>
      <c r="D182" s="1">
        <v>523</v>
      </c>
      <c r="E182" s="1">
        <v>72</v>
      </c>
      <c r="F182" s="1">
        <v>46</v>
      </c>
      <c r="G182" s="1" t="s">
        <v>622</v>
      </c>
      <c r="H182" s="1" t="s">
        <v>623</v>
      </c>
      <c r="I182" s="1">
        <f t="shared" si="10"/>
        <v>1</v>
      </c>
      <c r="J182" s="1">
        <f t="shared" si="11"/>
        <v>1</v>
      </c>
      <c r="K182" s="1">
        <f t="shared" si="12"/>
        <v>0</v>
      </c>
      <c r="L182" s="1">
        <f t="shared" si="13"/>
        <v>0</v>
      </c>
      <c r="M182" s="1" t="str">
        <f t="shared" si="14"/>
        <v>有用信息</v>
      </c>
    </row>
    <row r="183" spans="1:13" x14ac:dyDescent="0.2">
      <c r="A183" s="1" t="s">
        <v>624</v>
      </c>
      <c r="B183" s="2">
        <v>46096</v>
      </c>
      <c r="C183" s="1" t="s">
        <v>126</v>
      </c>
      <c r="D183" s="1">
        <v>301</v>
      </c>
      <c r="E183" s="1">
        <v>31</v>
      </c>
      <c r="F183" s="1">
        <v>17</v>
      </c>
      <c r="G183" s="1" t="s">
        <v>625</v>
      </c>
      <c r="H183" s="1" t="s">
        <v>626</v>
      </c>
      <c r="I183" s="1">
        <f t="shared" si="10"/>
        <v>0</v>
      </c>
      <c r="J183" s="1">
        <f t="shared" si="11"/>
        <v>1</v>
      </c>
      <c r="K183" s="1">
        <f t="shared" si="12"/>
        <v>0</v>
      </c>
      <c r="L183" s="1">
        <f t="shared" si="13"/>
        <v>0</v>
      </c>
      <c r="M183" s="1" t="str">
        <f t="shared" si="14"/>
        <v>有用信息</v>
      </c>
    </row>
    <row r="184" spans="1:13" x14ac:dyDescent="0.2">
      <c r="A184" s="1" t="s">
        <v>627</v>
      </c>
      <c r="B184" s="2">
        <v>46099</v>
      </c>
      <c r="C184" s="1" t="s">
        <v>130</v>
      </c>
      <c r="D184" s="1">
        <v>278</v>
      </c>
      <c r="E184" s="1">
        <v>33</v>
      </c>
      <c r="F184" s="1">
        <v>16</v>
      </c>
      <c r="G184" s="1" t="s">
        <v>628</v>
      </c>
      <c r="H184" s="1" t="s">
        <v>629</v>
      </c>
      <c r="I184" s="1">
        <f t="shared" si="10"/>
        <v>1</v>
      </c>
      <c r="J184" s="1">
        <f t="shared" si="11"/>
        <v>0</v>
      </c>
      <c r="K184" s="1">
        <f t="shared" si="12"/>
        <v>0</v>
      </c>
      <c r="L184" s="1">
        <f t="shared" si="13"/>
        <v>0</v>
      </c>
      <c r="M184" s="1" t="str">
        <f t="shared" si="14"/>
        <v>有用信息</v>
      </c>
    </row>
    <row r="185" spans="1:13" x14ac:dyDescent="0.2">
      <c r="A185" s="1" t="s">
        <v>630</v>
      </c>
      <c r="B185" s="2">
        <v>46097</v>
      </c>
      <c r="C185" s="1" t="s">
        <v>134</v>
      </c>
      <c r="D185" s="1">
        <v>267</v>
      </c>
      <c r="E185" s="1">
        <v>48</v>
      </c>
      <c r="F185" s="1">
        <v>20</v>
      </c>
      <c r="G185" s="1" t="s">
        <v>631</v>
      </c>
      <c r="H185" s="1" t="s">
        <v>632</v>
      </c>
      <c r="I185" s="1">
        <f t="shared" si="10"/>
        <v>0</v>
      </c>
      <c r="J185" s="1">
        <f t="shared" si="11"/>
        <v>1</v>
      </c>
      <c r="K185" s="1">
        <f t="shared" si="12"/>
        <v>0</v>
      </c>
      <c r="L185" s="1">
        <f t="shared" si="13"/>
        <v>0</v>
      </c>
      <c r="M185" s="1" t="str">
        <f t="shared" si="14"/>
        <v>有用信息</v>
      </c>
    </row>
    <row r="186" spans="1:13" x14ac:dyDescent="0.2">
      <c r="A186" s="1" t="s">
        <v>633</v>
      </c>
      <c r="B186" s="2">
        <v>46098</v>
      </c>
      <c r="C186" s="1" t="s">
        <v>138</v>
      </c>
      <c r="D186" s="1">
        <v>389</v>
      </c>
      <c r="E186" s="1">
        <v>36</v>
      </c>
      <c r="F186" s="1">
        <v>24</v>
      </c>
      <c r="G186" s="1" t="s">
        <v>634</v>
      </c>
      <c r="H186" s="1" t="s">
        <v>635</v>
      </c>
      <c r="I186" s="1">
        <f t="shared" si="10"/>
        <v>1</v>
      </c>
      <c r="J186" s="1">
        <f t="shared" si="11"/>
        <v>0</v>
      </c>
      <c r="K186" s="1">
        <f t="shared" si="12"/>
        <v>0</v>
      </c>
      <c r="L186" s="1">
        <f t="shared" si="13"/>
        <v>0</v>
      </c>
      <c r="M186" s="1" t="str">
        <f t="shared" si="14"/>
        <v>有用信息</v>
      </c>
    </row>
    <row r="187" spans="1:13" x14ac:dyDescent="0.2">
      <c r="A187" s="1" t="s">
        <v>636</v>
      </c>
      <c r="B187" s="2">
        <v>46096</v>
      </c>
      <c r="C187" s="1" t="s">
        <v>142</v>
      </c>
      <c r="D187" s="1">
        <v>234</v>
      </c>
      <c r="E187" s="1">
        <v>29</v>
      </c>
      <c r="F187" s="1">
        <v>12</v>
      </c>
      <c r="G187" s="1" t="s">
        <v>637</v>
      </c>
      <c r="H187" s="1" t="s">
        <v>638</v>
      </c>
      <c r="I187" s="1">
        <f t="shared" si="10"/>
        <v>0</v>
      </c>
      <c r="J187" s="1">
        <f t="shared" si="11"/>
        <v>1</v>
      </c>
      <c r="K187" s="1">
        <f t="shared" si="12"/>
        <v>0</v>
      </c>
      <c r="L187" s="1">
        <f t="shared" si="13"/>
        <v>0</v>
      </c>
      <c r="M187" s="1" t="str">
        <f t="shared" si="14"/>
        <v>有用信息</v>
      </c>
    </row>
    <row r="188" spans="1:13" x14ac:dyDescent="0.2">
      <c r="A188" s="1" t="s">
        <v>639</v>
      </c>
      <c r="B188" s="2">
        <v>46099</v>
      </c>
      <c r="C188" s="1" t="s">
        <v>146</v>
      </c>
      <c r="D188" s="1">
        <v>298</v>
      </c>
      <c r="E188" s="1">
        <v>35</v>
      </c>
      <c r="F188" s="1">
        <v>18</v>
      </c>
      <c r="G188" s="1" t="s">
        <v>640</v>
      </c>
      <c r="H188" s="1" t="s">
        <v>641</v>
      </c>
      <c r="I188" s="1">
        <f t="shared" si="10"/>
        <v>1</v>
      </c>
      <c r="J188" s="1">
        <f t="shared" si="11"/>
        <v>0</v>
      </c>
      <c r="K188" s="1">
        <f t="shared" si="12"/>
        <v>0</v>
      </c>
      <c r="L188" s="1">
        <f t="shared" si="13"/>
        <v>0</v>
      </c>
      <c r="M188" s="1" t="str">
        <f t="shared" si="14"/>
        <v>有用信息</v>
      </c>
    </row>
    <row r="189" spans="1:13" x14ac:dyDescent="0.2">
      <c r="A189" s="1" t="s">
        <v>642</v>
      </c>
      <c r="B189" s="2">
        <v>46097</v>
      </c>
      <c r="C189" s="1" t="s">
        <v>150</v>
      </c>
      <c r="D189" s="1">
        <v>456</v>
      </c>
      <c r="E189" s="1">
        <v>48</v>
      </c>
      <c r="F189" s="1">
        <v>34</v>
      </c>
      <c r="G189" s="1" t="s">
        <v>643</v>
      </c>
      <c r="H189" s="1" t="s">
        <v>644</v>
      </c>
      <c r="I189" s="1">
        <f t="shared" si="10"/>
        <v>1</v>
      </c>
      <c r="J189" s="1">
        <f t="shared" si="11"/>
        <v>0</v>
      </c>
      <c r="K189" s="1">
        <f t="shared" si="12"/>
        <v>0</v>
      </c>
      <c r="L189" s="1">
        <f t="shared" si="13"/>
        <v>0</v>
      </c>
      <c r="M189" s="1" t="str">
        <f t="shared" si="14"/>
        <v>有用信息</v>
      </c>
    </row>
    <row r="190" spans="1:13" x14ac:dyDescent="0.2">
      <c r="A190" s="1" t="s">
        <v>645</v>
      </c>
      <c r="B190" s="2">
        <v>46098</v>
      </c>
      <c r="C190" s="1" t="s">
        <v>154</v>
      </c>
      <c r="D190" s="1">
        <v>278</v>
      </c>
      <c r="E190" s="1">
        <v>54</v>
      </c>
      <c r="F190" s="1">
        <v>19</v>
      </c>
      <c r="G190" s="1" t="s">
        <v>646</v>
      </c>
      <c r="H190" s="1" t="s">
        <v>647</v>
      </c>
      <c r="I190" s="1">
        <f t="shared" si="10"/>
        <v>0</v>
      </c>
      <c r="J190" s="1">
        <f t="shared" si="11"/>
        <v>1</v>
      </c>
      <c r="K190" s="1">
        <f t="shared" si="12"/>
        <v>0</v>
      </c>
      <c r="L190" s="1">
        <f t="shared" si="13"/>
        <v>0</v>
      </c>
      <c r="M190" s="1" t="str">
        <f t="shared" si="14"/>
        <v>有用信息</v>
      </c>
    </row>
    <row r="191" spans="1:13" x14ac:dyDescent="0.2">
      <c r="A191" s="1" t="s">
        <v>648</v>
      </c>
      <c r="B191" s="2">
        <v>46096</v>
      </c>
      <c r="C191" s="1" t="s">
        <v>158</v>
      </c>
      <c r="D191" s="1">
        <v>234</v>
      </c>
      <c r="E191" s="1">
        <v>31</v>
      </c>
      <c r="F191" s="1">
        <v>14</v>
      </c>
      <c r="G191" s="1" t="s">
        <v>649</v>
      </c>
      <c r="H191" s="1" t="s">
        <v>650</v>
      </c>
      <c r="I191" s="1">
        <f t="shared" si="10"/>
        <v>1</v>
      </c>
      <c r="J191" s="1">
        <f t="shared" si="11"/>
        <v>0</v>
      </c>
      <c r="K191" s="1">
        <f t="shared" si="12"/>
        <v>0</v>
      </c>
      <c r="L191" s="1">
        <f t="shared" si="13"/>
        <v>0</v>
      </c>
      <c r="M191" s="1" t="str">
        <f t="shared" si="14"/>
        <v>有用信息</v>
      </c>
    </row>
    <row r="192" spans="1:13" x14ac:dyDescent="0.2">
      <c r="A192" s="1" t="s">
        <v>651</v>
      </c>
      <c r="B192" s="2">
        <v>46099</v>
      </c>
      <c r="C192" s="1" t="s">
        <v>162</v>
      </c>
      <c r="D192" s="1">
        <v>634</v>
      </c>
      <c r="E192" s="1">
        <v>89</v>
      </c>
      <c r="F192" s="1">
        <v>57</v>
      </c>
      <c r="G192" s="1" t="s">
        <v>652</v>
      </c>
      <c r="H192" s="1" t="s">
        <v>653</v>
      </c>
      <c r="I192" s="1">
        <f t="shared" si="10"/>
        <v>0</v>
      </c>
      <c r="J192" s="1">
        <f t="shared" si="11"/>
        <v>1</v>
      </c>
      <c r="K192" s="1">
        <f t="shared" si="12"/>
        <v>0</v>
      </c>
      <c r="L192" s="1">
        <f t="shared" si="13"/>
        <v>0</v>
      </c>
      <c r="M192" s="1" t="str">
        <f t="shared" si="14"/>
        <v>有用信息</v>
      </c>
    </row>
    <row r="193" spans="1:13" x14ac:dyDescent="0.2">
      <c r="A193" s="1" t="s">
        <v>654</v>
      </c>
      <c r="B193" s="2">
        <v>46097</v>
      </c>
      <c r="C193" s="1" t="s">
        <v>166</v>
      </c>
      <c r="D193" s="1">
        <v>356</v>
      </c>
      <c r="E193" s="1">
        <v>31</v>
      </c>
      <c r="F193" s="1">
        <v>21</v>
      </c>
      <c r="G193" s="1" t="s">
        <v>655</v>
      </c>
      <c r="H193" s="1" t="s">
        <v>656</v>
      </c>
      <c r="I193" s="1">
        <f t="shared" si="10"/>
        <v>0</v>
      </c>
      <c r="J193" s="1">
        <f t="shared" si="11"/>
        <v>1</v>
      </c>
      <c r="K193" s="1">
        <f t="shared" si="12"/>
        <v>0</v>
      </c>
      <c r="L193" s="1">
        <f t="shared" si="13"/>
        <v>0</v>
      </c>
      <c r="M193" s="1" t="str">
        <f t="shared" si="14"/>
        <v>有用信息</v>
      </c>
    </row>
    <row r="194" spans="1:13" x14ac:dyDescent="0.2">
      <c r="A194" s="1" t="s">
        <v>657</v>
      </c>
      <c r="B194" s="2">
        <v>46098</v>
      </c>
      <c r="C194" s="1" t="s">
        <v>170</v>
      </c>
      <c r="D194" s="1">
        <v>289</v>
      </c>
      <c r="E194" s="1">
        <v>62</v>
      </c>
      <c r="F194" s="1">
        <v>23</v>
      </c>
      <c r="G194" s="1" t="s">
        <v>658</v>
      </c>
      <c r="H194" s="1" t="s">
        <v>659</v>
      </c>
      <c r="I194" s="1">
        <f t="shared" si="10"/>
        <v>1</v>
      </c>
      <c r="J194" s="1">
        <f t="shared" si="11"/>
        <v>0</v>
      </c>
      <c r="K194" s="1">
        <f t="shared" si="12"/>
        <v>0</v>
      </c>
      <c r="L194" s="1">
        <f t="shared" si="13"/>
        <v>0</v>
      </c>
      <c r="M194" s="1" t="str">
        <f t="shared" si="14"/>
        <v>有用信息</v>
      </c>
    </row>
    <row r="195" spans="1:13" x14ac:dyDescent="0.2">
      <c r="A195" s="1" t="s">
        <v>660</v>
      </c>
      <c r="B195" s="2">
        <v>46096</v>
      </c>
      <c r="C195" s="1" t="s">
        <v>174</v>
      </c>
      <c r="D195" s="1">
        <v>423</v>
      </c>
      <c r="E195" s="1">
        <v>54</v>
      </c>
      <c r="F195" s="1">
        <v>33</v>
      </c>
      <c r="G195" s="1" t="s">
        <v>661</v>
      </c>
      <c r="H195" s="1" t="s">
        <v>662</v>
      </c>
      <c r="I195" s="1">
        <f t="shared" ref="I195:I206" si="15">--ISNUMBER(SEARCH("间歇跑",$A195))</f>
        <v>1</v>
      </c>
      <c r="J195" s="1">
        <f t="shared" ref="J195:J206" si="16">--ISNUMBER(SEARCH("LSD",$A195))</f>
        <v>1</v>
      </c>
      <c r="K195" s="1">
        <f t="shared" ref="K195:K206" si="17">--OR(ISNUMBER(SEARCH("节奏",$A195)),ISNUMBER(SEARCH("阈",$A195)))</f>
        <v>0</v>
      </c>
      <c r="L195" s="1">
        <f t="shared" ref="L195:L206" si="18">--ISNUMBER(SEARCH("力量",$A195))</f>
        <v>0</v>
      </c>
      <c r="M195" s="1" t="str">
        <f t="shared" ref="M195:M206" si="19">IF(AND(I195=0,J195=0,K195=0,L195=0),"无用信息","有用信息")</f>
        <v>有用信息</v>
      </c>
    </row>
    <row r="196" spans="1:13" x14ac:dyDescent="0.2">
      <c r="A196" s="1" t="s">
        <v>663</v>
      </c>
      <c r="B196" s="2">
        <v>46099</v>
      </c>
      <c r="C196" s="1" t="s">
        <v>178</v>
      </c>
      <c r="D196" s="1">
        <v>312</v>
      </c>
      <c r="E196" s="1">
        <v>38</v>
      </c>
      <c r="F196" s="1">
        <v>19</v>
      </c>
      <c r="G196" s="1" t="s">
        <v>664</v>
      </c>
      <c r="H196" s="1" t="s">
        <v>665</v>
      </c>
      <c r="I196" s="1">
        <f t="shared" si="15"/>
        <v>1</v>
      </c>
      <c r="J196" s="1">
        <f t="shared" si="16"/>
        <v>0</v>
      </c>
      <c r="K196" s="1">
        <f t="shared" si="17"/>
        <v>0</v>
      </c>
      <c r="L196" s="1">
        <f t="shared" si="18"/>
        <v>0</v>
      </c>
      <c r="M196" s="1" t="str">
        <f t="shared" si="19"/>
        <v>有用信息</v>
      </c>
    </row>
    <row r="197" spans="1:13" x14ac:dyDescent="0.2">
      <c r="A197" s="1" t="s">
        <v>666</v>
      </c>
      <c r="B197" s="2">
        <v>46097</v>
      </c>
      <c r="C197" s="1" t="s">
        <v>182</v>
      </c>
      <c r="D197" s="1">
        <v>298</v>
      </c>
      <c r="E197" s="1">
        <v>71</v>
      </c>
      <c r="F197" s="1">
        <v>24</v>
      </c>
      <c r="G197" s="1" t="s">
        <v>667</v>
      </c>
      <c r="H197" s="1" t="s">
        <v>668</v>
      </c>
      <c r="I197" s="1">
        <f t="shared" si="15"/>
        <v>0</v>
      </c>
      <c r="J197" s="1">
        <f t="shared" si="16"/>
        <v>1</v>
      </c>
      <c r="K197" s="1">
        <f t="shared" si="17"/>
        <v>0</v>
      </c>
      <c r="L197" s="1">
        <f t="shared" si="18"/>
        <v>0</v>
      </c>
      <c r="M197" s="1" t="str">
        <f t="shared" si="19"/>
        <v>有用信息</v>
      </c>
    </row>
    <row r="198" spans="1:13" x14ac:dyDescent="0.2">
      <c r="A198" s="1" t="s">
        <v>669</v>
      </c>
      <c r="B198" s="2">
        <v>46098</v>
      </c>
      <c r="C198" s="1" t="s">
        <v>186</v>
      </c>
      <c r="D198" s="1">
        <v>345</v>
      </c>
      <c r="E198" s="1">
        <v>29</v>
      </c>
      <c r="F198" s="1">
        <v>20</v>
      </c>
      <c r="G198" s="1" t="s">
        <v>670</v>
      </c>
      <c r="H198" s="1" t="s">
        <v>671</v>
      </c>
      <c r="I198" s="1">
        <f t="shared" si="15"/>
        <v>1</v>
      </c>
      <c r="J198" s="1">
        <f t="shared" si="16"/>
        <v>0</v>
      </c>
      <c r="K198" s="1">
        <f t="shared" si="17"/>
        <v>0</v>
      </c>
      <c r="L198" s="1">
        <f t="shared" si="18"/>
        <v>0</v>
      </c>
      <c r="M198" s="1" t="str">
        <f t="shared" si="19"/>
        <v>有用信息</v>
      </c>
    </row>
    <row r="199" spans="1:13" x14ac:dyDescent="0.2">
      <c r="A199" s="1" t="s">
        <v>672</v>
      </c>
      <c r="B199" s="2">
        <v>46096</v>
      </c>
      <c r="C199" s="1" t="s">
        <v>190</v>
      </c>
      <c r="D199" s="1">
        <v>389</v>
      </c>
      <c r="E199" s="1">
        <v>41</v>
      </c>
      <c r="F199" s="1">
        <v>28</v>
      </c>
      <c r="G199" s="1" t="s">
        <v>499</v>
      </c>
      <c r="H199" s="1" t="s">
        <v>673</v>
      </c>
      <c r="I199" s="1">
        <f t="shared" si="15"/>
        <v>1</v>
      </c>
      <c r="J199" s="1">
        <f t="shared" si="16"/>
        <v>1</v>
      </c>
      <c r="K199" s="1">
        <f t="shared" si="17"/>
        <v>0</v>
      </c>
      <c r="L199" s="1">
        <f t="shared" si="18"/>
        <v>0</v>
      </c>
      <c r="M199" s="1" t="str">
        <f t="shared" si="19"/>
        <v>有用信息</v>
      </c>
    </row>
    <row r="200" spans="1:13" x14ac:dyDescent="0.2">
      <c r="A200" s="1" t="s">
        <v>674</v>
      </c>
      <c r="B200" s="2">
        <v>46099</v>
      </c>
      <c r="C200" s="1" t="s">
        <v>194</v>
      </c>
      <c r="D200" s="1">
        <v>267</v>
      </c>
      <c r="E200" s="1">
        <v>27</v>
      </c>
      <c r="F200" s="1">
        <v>15</v>
      </c>
      <c r="G200" s="1" t="s">
        <v>675</v>
      </c>
      <c r="H200" s="1" t="s">
        <v>676</v>
      </c>
      <c r="I200" s="1">
        <f t="shared" si="15"/>
        <v>1</v>
      </c>
      <c r="J200" s="1">
        <f t="shared" si="16"/>
        <v>0</v>
      </c>
      <c r="K200" s="1">
        <f t="shared" si="17"/>
        <v>0</v>
      </c>
      <c r="L200" s="1">
        <f t="shared" si="18"/>
        <v>0</v>
      </c>
      <c r="M200" s="1" t="str">
        <f t="shared" si="19"/>
        <v>有用信息</v>
      </c>
    </row>
    <row r="201" spans="1:13" x14ac:dyDescent="0.2">
      <c r="A201" s="1" t="s">
        <v>677</v>
      </c>
      <c r="B201" s="2">
        <v>46097</v>
      </c>
      <c r="C201" s="1" t="s">
        <v>198</v>
      </c>
      <c r="D201" s="1">
        <v>234</v>
      </c>
      <c r="E201" s="1">
        <v>38</v>
      </c>
      <c r="F201" s="1">
        <v>13</v>
      </c>
      <c r="G201" s="1" t="s">
        <v>678</v>
      </c>
      <c r="H201" s="1" t="s">
        <v>679</v>
      </c>
      <c r="I201" s="1">
        <f t="shared" si="15"/>
        <v>0</v>
      </c>
      <c r="J201" s="1">
        <f t="shared" si="16"/>
        <v>1</v>
      </c>
      <c r="K201" s="1">
        <f t="shared" si="17"/>
        <v>0</v>
      </c>
      <c r="L201" s="1">
        <f t="shared" si="18"/>
        <v>0</v>
      </c>
      <c r="M201" s="1" t="str">
        <f t="shared" si="19"/>
        <v>有用信息</v>
      </c>
    </row>
    <row r="202" spans="1:13" x14ac:dyDescent="0.2">
      <c r="A202" s="1" t="s">
        <v>680</v>
      </c>
      <c r="B202" s="2">
        <v>46098</v>
      </c>
      <c r="C202" s="1" t="s">
        <v>202</v>
      </c>
      <c r="D202" s="1">
        <v>512</v>
      </c>
      <c r="E202" s="1">
        <v>63</v>
      </c>
      <c r="F202" s="1">
        <v>41</v>
      </c>
      <c r="G202" s="1" t="s">
        <v>681</v>
      </c>
      <c r="H202" s="1" t="s">
        <v>542</v>
      </c>
      <c r="I202" s="1">
        <f t="shared" si="15"/>
        <v>1</v>
      </c>
      <c r="J202" s="1">
        <f t="shared" si="16"/>
        <v>1</v>
      </c>
      <c r="K202" s="1">
        <f t="shared" si="17"/>
        <v>0</v>
      </c>
      <c r="L202" s="1">
        <f t="shared" si="18"/>
        <v>0</v>
      </c>
      <c r="M202" s="1" t="str">
        <f t="shared" si="19"/>
        <v>有用信息</v>
      </c>
    </row>
    <row r="203" spans="1:13" x14ac:dyDescent="0.2">
      <c r="A203" s="1" t="s">
        <v>682</v>
      </c>
      <c r="B203" s="2">
        <v>46096</v>
      </c>
      <c r="C203" s="1" t="s">
        <v>206</v>
      </c>
      <c r="D203" s="1">
        <v>289</v>
      </c>
      <c r="E203" s="1">
        <v>56</v>
      </c>
      <c r="F203" s="1">
        <v>18</v>
      </c>
      <c r="G203" s="1" t="s">
        <v>683</v>
      </c>
      <c r="H203" s="1" t="s">
        <v>684</v>
      </c>
      <c r="I203" s="1">
        <f t="shared" si="15"/>
        <v>0</v>
      </c>
      <c r="J203" s="1">
        <f t="shared" si="16"/>
        <v>1</v>
      </c>
      <c r="K203" s="1">
        <f t="shared" si="17"/>
        <v>0</v>
      </c>
      <c r="L203" s="1">
        <f t="shared" si="18"/>
        <v>0</v>
      </c>
      <c r="M203" s="1" t="str">
        <f t="shared" si="19"/>
        <v>有用信息</v>
      </c>
    </row>
    <row r="204" spans="1:13" x14ac:dyDescent="0.2">
      <c r="A204" s="1" t="s">
        <v>685</v>
      </c>
      <c r="B204" s="2">
        <v>46099</v>
      </c>
      <c r="C204" s="1" t="s">
        <v>210</v>
      </c>
      <c r="D204" s="1">
        <v>278</v>
      </c>
      <c r="E204" s="1">
        <v>32</v>
      </c>
      <c r="F204" s="1">
        <v>16</v>
      </c>
      <c r="G204" s="1" t="s">
        <v>686</v>
      </c>
      <c r="H204" s="1" t="s">
        <v>687</v>
      </c>
      <c r="I204" s="1">
        <f t="shared" si="15"/>
        <v>1</v>
      </c>
      <c r="J204" s="1">
        <f t="shared" si="16"/>
        <v>0</v>
      </c>
      <c r="K204" s="1">
        <f t="shared" si="17"/>
        <v>0</v>
      </c>
      <c r="L204" s="1">
        <f t="shared" si="18"/>
        <v>0</v>
      </c>
      <c r="M204" s="1" t="str">
        <f t="shared" si="19"/>
        <v>有用信息</v>
      </c>
    </row>
    <row r="205" spans="1:13" x14ac:dyDescent="0.2">
      <c r="A205" s="1" t="s">
        <v>688</v>
      </c>
      <c r="B205" s="2">
        <v>46097</v>
      </c>
      <c r="C205" s="1" t="s">
        <v>222</v>
      </c>
      <c r="D205" s="1">
        <v>378</v>
      </c>
      <c r="E205" s="1">
        <v>49</v>
      </c>
      <c r="F205" s="1">
        <v>29</v>
      </c>
      <c r="G205" s="1" t="s">
        <v>689</v>
      </c>
      <c r="H205" s="1" t="s">
        <v>690</v>
      </c>
      <c r="I205" s="1">
        <f t="shared" si="15"/>
        <v>0</v>
      </c>
      <c r="J205" s="1">
        <f t="shared" si="16"/>
        <v>1</v>
      </c>
      <c r="K205" s="1">
        <f t="shared" si="17"/>
        <v>0</v>
      </c>
      <c r="L205" s="1">
        <f t="shared" si="18"/>
        <v>0</v>
      </c>
      <c r="M205" s="1" t="str">
        <f t="shared" si="19"/>
        <v>有用信息</v>
      </c>
    </row>
    <row r="206" spans="1:13" x14ac:dyDescent="0.2">
      <c r="A206" s="1" t="s">
        <v>691</v>
      </c>
      <c r="B206" s="2">
        <v>46098</v>
      </c>
      <c r="C206" s="1" t="s">
        <v>226</v>
      </c>
      <c r="D206" s="1">
        <v>345</v>
      </c>
      <c r="E206" s="1">
        <v>28</v>
      </c>
      <c r="F206" s="1">
        <v>18</v>
      </c>
      <c r="G206" s="1" t="s">
        <v>692</v>
      </c>
      <c r="H206" s="1" t="s">
        <v>693</v>
      </c>
      <c r="I206" s="1">
        <f t="shared" si="15"/>
        <v>1</v>
      </c>
      <c r="J206" s="1">
        <f t="shared" si="16"/>
        <v>0</v>
      </c>
      <c r="K206" s="1">
        <f t="shared" si="17"/>
        <v>0</v>
      </c>
      <c r="L206" s="1">
        <f t="shared" si="18"/>
        <v>0</v>
      </c>
      <c r="M206" s="1" t="str">
        <f t="shared" si="19"/>
        <v>有用信息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6"/>
  <sheetViews>
    <sheetView topLeftCell="B1" workbookViewId="0">
      <selection activeCell="P1" sqref="P1"/>
    </sheetView>
  </sheetViews>
  <sheetFormatPr defaultColWidth="8.625" defaultRowHeight="14.25" x14ac:dyDescent="0.2"/>
  <cols>
    <col min="1" max="1" width="78.625" customWidth="1"/>
    <col min="2" max="2" width="9.75" customWidth="1"/>
    <col min="3" max="3" width="8.75" customWidth="1"/>
    <col min="4" max="6" width="5.125" customWidth="1"/>
    <col min="7" max="7" width="36" customWidth="1"/>
    <col min="8" max="8" width="15.5" customWidth="1"/>
    <col min="9" max="9" width="10.625" customWidth="1"/>
    <col min="10" max="10" width="8.125" customWidth="1"/>
    <col min="11" max="11" width="17.625" customWidth="1"/>
    <col min="12" max="12" width="12.75" customWidth="1"/>
    <col min="13" max="13" width="10.625" customWidth="1"/>
    <col min="16" max="16" width="10.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694</v>
      </c>
      <c r="P1" s="1" t="s">
        <v>695</v>
      </c>
    </row>
    <row r="2" spans="1:16" x14ac:dyDescent="0.2">
      <c r="A2" s="1" t="s">
        <v>480</v>
      </c>
      <c r="B2" s="2">
        <v>46095</v>
      </c>
      <c r="C2" s="3" t="s">
        <v>118</v>
      </c>
      <c r="D2" s="1">
        <v>589</v>
      </c>
      <c r="E2" s="1">
        <v>73</v>
      </c>
      <c r="F2" s="1">
        <v>48</v>
      </c>
      <c r="G2" s="1" t="s">
        <v>481</v>
      </c>
      <c r="H2" s="1" t="s">
        <v>482</v>
      </c>
      <c r="I2" s="1">
        <f t="shared" ref="I2:I33" si="0">--ISNUMBER(SEARCH("间歇",$A2))</f>
        <v>1</v>
      </c>
      <c r="J2" s="1">
        <f t="shared" ref="J2:J33" si="1">--ISNUMBER(SEARCH("LSD",$A2))</f>
        <v>1</v>
      </c>
      <c r="K2" s="1">
        <f t="shared" ref="K2:K33" si="2">--OR(ISNUMBER(SEARCH("节奏",$A2)),ISNUMBER(SEARCH("阈",$A2)))</f>
        <v>1</v>
      </c>
      <c r="L2" s="1">
        <f t="shared" ref="L2:L33" si="3">--ISNUMBER(SEARCH("力量",$A2))</f>
        <v>1</v>
      </c>
      <c r="M2" s="1">
        <f t="shared" ref="M2:M33" si="4">I2+J2+K2+L2</f>
        <v>4</v>
      </c>
      <c r="P2" t="str">
        <f>IF(OR(ISNUMBER(SEARCH("全马",A2)),ISNUMBER(SEARCH("42",A2)),ISNUMBER(SEARCH("破三",A2)),ISNUMBER(SEARCH("330",A2)),ISNUMBER(SEARCH("破四",A2)),ISNUMBER(SEARCH("430",A2))),"全马",
 IF(OR(ISNUMBER(SEARCH("半马",A2)),ISNUMBER(SEARCH("21",A2)),ISNUMBER(SEARCH("145",A2)),ISNUMBER(SEARCH("200",A2)),ISNUMBER(SEARCH("130",A2))),"半马",
 "未明确"))</f>
        <v>全马</v>
      </c>
    </row>
    <row r="3" spans="1:16" x14ac:dyDescent="0.2">
      <c r="A3" s="1" t="s">
        <v>165</v>
      </c>
      <c r="B3" s="2">
        <v>46092</v>
      </c>
      <c r="C3" s="1" t="s">
        <v>166</v>
      </c>
      <c r="D3" s="1">
        <v>713</v>
      </c>
      <c r="E3" s="1">
        <v>89</v>
      </c>
      <c r="F3" s="1">
        <v>56</v>
      </c>
      <c r="G3" s="1" t="s">
        <v>167</v>
      </c>
      <c r="H3" s="1" t="s">
        <v>168</v>
      </c>
      <c r="I3" s="1">
        <f t="shared" si="0"/>
        <v>1</v>
      </c>
      <c r="J3" s="1">
        <f t="shared" si="1"/>
        <v>1</v>
      </c>
      <c r="K3" s="1">
        <f t="shared" si="2"/>
        <v>1</v>
      </c>
      <c r="L3" s="1">
        <f t="shared" si="3"/>
        <v>1</v>
      </c>
      <c r="M3" s="1">
        <f t="shared" si="4"/>
        <v>4</v>
      </c>
      <c r="P3" t="str">
        <f>IF(OR(ISNUMBER(SEARCH("全马",A3)),ISNUMBER(SEARCH("42",A3)),ISNUMBER(SEARCH("破三",A3)),ISNUMBER(SEARCH("330",A3)),ISNUMBER(SEARCH("破四",A3)),ISNUMBER(SEARCH("430",A3))),"全马",
 IF(OR(ISNUMBER(SEARCH("半马",A3)),ISNUMBER(SEARCH("21",A3)),ISNUMBER(SEARCH("145",A3)),ISNUMBER(SEARCH("200",A3)),ISNUMBER(SEARCH("130",A3))),"半马",
 "未明确"))</f>
        <v>全马</v>
      </c>
    </row>
    <row r="4" spans="1:16" x14ac:dyDescent="0.2">
      <c r="A4" s="1" t="s">
        <v>61</v>
      </c>
      <c r="B4" s="2">
        <v>46087</v>
      </c>
      <c r="C4" s="1" t="s">
        <v>62</v>
      </c>
      <c r="D4" s="1">
        <v>703</v>
      </c>
      <c r="E4" s="1">
        <v>55</v>
      </c>
      <c r="F4" s="1">
        <v>47</v>
      </c>
      <c r="G4" s="1" t="s">
        <v>63</v>
      </c>
      <c r="H4" s="1" t="s">
        <v>64</v>
      </c>
      <c r="I4" s="1">
        <f t="shared" si="0"/>
        <v>1</v>
      </c>
      <c r="J4" s="1">
        <f t="shared" si="1"/>
        <v>1</v>
      </c>
      <c r="K4" s="1">
        <f t="shared" si="2"/>
        <v>1</v>
      </c>
      <c r="L4" s="1">
        <f t="shared" si="3"/>
        <v>0</v>
      </c>
      <c r="M4" s="1">
        <f t="shared" si="4"/>
        <v>3</v>
      </c>
      <c r="P4" t="str">
        <f>IF(OR(ISNUMBER(SEARCH("全马",A4)),ISNUMBER(SEARCH("42",A4)),ISNUMBER(SEARCH("破三",A4)),ISNUMBER(SEARCH("330",A4)),ISNUMBER(SEARCH("破四",A4)),ISNUMBER(SEARCH("430",A4))),"全马",
 IF(OR(ISNUMBER(SEARCH("半马",A4)),ISNUMBER(SEARCH("21",A4)),ISNUMBER(SEARCH("145",A4)),ISNUMBER(SEARCH("200",A4)),ISNUMBER(SEARCH("130",A4))),"半马",
 "未明确"))</f>
        <v>未明确</v>
      </c>
    </row>
    <row r="5" spans="1:16" x14ac:dyDescent="0.2">
      <c r="A5" s="1" t="s">
        <v>281</v>
      </c>
      <c r="B5" s="2">
        <v>46094</v>
      </c>
      <c r="C5" s="1" t="s">
        <v>282</v>
      </c>
      <c r="D5" s="1">
        <v>504</v>
      </c>
      <c r="E5" s="1">
        <v>61</v>
      </c>
      <c r="F5" s="1">
        <v>41</v>
      </c>
      <c r="G5" s="1" t="s">
        <v>283</v>
      </c>
      <c r="H5" s="1" t="s">
        <v>284</v>
      </c>
      <c r="I5" s="1">
        <f t="shared" si="0"/>
        <v>1</v>
      </c>
      <c r="J5" s="1">
        <f t="shared" si="1"/>
        <v>1</v>
      </c>
      <c r="K5" s="1">
        <f t="shared" si="2"/>
        <v>1</v>
      </c>
      <c r="L5" s="1">
        <f t="shared" si="3"/>
        <v>0</v>
      </c>
      <c r="M5" s="1">
        <f t="shared" si="4"/>
        <v>3</v>
      </c>
      <c r="P5" t="str">
        <f>IF(OR(ISNUMBER(SEARCH("全马",A5)),ISNUMBER(SEARCH("42",A5)),ISNUMBER(SEARCH("破三",A5)),ISNUMBER(SEARCH("330",A5)),ISNUMBER(SEARCH("破四",A5)),ISNUMBER(SEARCH("430",A5))),"全马",
 IF(OR(ISNUMBER(SEARCH("半马",A5)),ISNUMBER(SEARCH("21",A5)),ISNUMBER(SEARCH("145",A5)),ISNUMBER(SEARCH("200",A5)),ISNUMBER(SEARCH("130",A5))),"半马",
 "未明确"))</f>
        <v>全马</v>
      </c>
    </row>
    <row r="6" spans="1:16" x14ac:dyDescent="0.2">
      <c r="A6" s="1" t="s">
        <v>376</v>
      </c>
      <c r="B6" s="2">
        <v>46093</v>
      </c>
      <c r="C6" s="1" t="s">
        <v>122</v>
      </c>
      <c r="D6" s="1">
        <v>702</v>
      </c>
      <c r="E6" s="1">
        <v>88</v>
      </c>
      <c r="F6" s="1">
        <v>61</v>
      </c>
      <c r="G6" s="1" t="s">
        <v>377</v>
      </c>
      <c r="H6" s="1" t="s">
        <v>378</v>
      </c>
      <c r="I6" s="1">
        <f t="shared" si="0"/>
        <v>1</v>
      </c>
      <c r="J6" s="1">
        <f t="shared" si="1"/>
        <v>1</v>
      </c>
      <c r="K6" s="1">
        <f t="shared" si="2"/>
        <v>1</v>
      </c>
      <c r="L6" s="1">
        <f t="shared" si="3"/>
        <v>0</v>
      </c>
      <c r="M6" s="1">
        <f t="shared" si="4"/>
        <v>3</v>
      </c>
      <c r="P6" t="str">
        <f>IF(OR(ISNUMBER(SEARCH("全马",A6)),ISNUMBER(SEARCH("42",A6)),ISNUMBER(SEARCH("破三",A6)),ISNUMBER(SEARCH("330",A6)),ISNUMBER(SEARCH("破四",A6)),ISNUMBER(SEARCH("430",A6))),"全马",
 IF(OR(ISNUMBER(SEARCH("半马",A6)),ISNUMBER(SEARCH("21",A6)),ISNUMBER(SEARCH("145",A6)),ISNUMBER(SEARCH("200",A6)),ISNUMBER(SEARCH("130",A6))),"半马",
 "未明确"))</f>
        <v>全马</v>
      </c>
    </row>
    <row r="7" spans="1:16" x14ac:dyDescent="0.2">
      <c r="A7" s="1" t="s">
        <v>37</v>
      </c>
      <c r="B7" s="2">
        <v>46092</v>
      </c>
      <c r="C7" s="1" t="s">
        <v>38</v>
      </c>
      <c r="D7" s="1">
        <v>658</v>
      </c>
      <c r="E7" s="1">
        <v>89</v>
      </c>
      <c r="F7" s="1">
        <v>43</v>
      </c>
      <c r="G7" s="1" t="s">
        <v>39</v>
      </c>
      <c r="H7" s="1" t="s">
        <v>40</v>
      </c>
      <c r="I7" s="1">
        <f t="shared" si="0"/>
        <v>1</v>
      </c>
      <c r="J7" s="1">
        <f t="shared" si="1"/>
        <v>1</v>
      </c>
      <c r="K7" s="1">
        <f t="shared" si="2"/>
        <v>0</v>
      </c>
      <c r="L7" s="1">
        <f t="shared" si="3"/>
        <v>0</v>
      </c>
      <c r="M7" s="1">
        <f t="shared" si="4"/>
        <v>2</v>
      </c>
      <c r="P7" t="str">
        <f>IF(OR(ISNUMBER(SEARCH("全马",A7)),ISNUMBER(SEARCH("42",A7)),ISNUMBER(SEARCH("破三",A7)),ISNUMBER(SEARCH("330",A7)),ISNUMBER(SEARCH("破四",A7)),ISNUMBER(SEARCH("430",A7))),"全马",
 IF(OR(ISNUMBER(SEARCH("半马",A7)),ISNUMBER(SEARCH("21",A7)),ISNUMBER(SEARCH("145",A7)),ISNUMBER(SEARCH("200",A7)),ISNUMBER(SEARCH("130",A7))),"半马",
 "未明确"))</f>
        <v>全马</v>
      </c>
    </row>
    <row r="8" spans="1:16" x14ac:dyDescent="0.2">
      <c r="A8" s="1" t="s">
        <v>49</v>
      </c>
      <c r="B8" s="2">
        <v>46084</v>
      </c>
      <c r="C8" s="1" t="s">
        <v>50</v>
      </c>
      <c r="D8" s="1">
        <v>387</v>
      </c>
      <c r="E8" s="1">
        <v>26</v>
      </c>
      <c r="F8" s="1">
        <v>14</v>
      </c>
      <c r="G8" s="1" t="s">
        <v>51</v>
      </c>
      <c r="H8" s="1" t="s">
        <v>52</v>
      </c>
      <c r="I8" s="1">
        <f t="shared" si="0"/>
        <v>1</v>
      </c>
      <c r="J8" s="1">
        <f t="shared" si="1"/>
        <v>1</v>
      </c>
      <c r="K8" s="1">
        <f t="shared" si="2"/>
        <v>0</v>
      </c>
      <c r="L8" s="1">
        <f t="shared" si="3"/>
        <v>0</v>
      </c>
      <c r="M8" s="1">
        <f t="shared" si="4"/>
        <v>2</v>
      </c>
      <c r="P8" t="str">
        <f>IF(OR(ISNUMBER(SEARCH("全马",A8)),ISNUMBER(SEARCH("42",A8)),ISNUMBER(SEARCH("破三",A8)),ISNUMBER(SEARCH("330",A8)),ISNUMBER(SEARCH("破四",A8)),ISNUMBER(SEARCH("430",A8))),"全马",
 IF(OR(ISNUMBER(SEARCH("半马",A8)),ISNUMBER(SEARCH("21",A8)),ISNUMBER(SEARCH("145",A8)),ISNUMBER(SEARCH("200",A8)),ISNUMBER(SEARCH("130",A8))),"半马",
 "未明确"))</f>
        <v>未明确</v>
      </c>
    </row>
    <row r="9" spans="1:16" x14ac:dyDescent="0.2">
      <c r="A9" s="1" t="s">
        <v>77</v>
      </c>
      <c r="B9" s="2">
        <v>46088</v>
      </c>
      <c r="C9" s="1" t="s">
        <v>78</v>
      </c>
      <c r="D9" s="1">
        <v>268</v>
      </c>
      <c r="E9" s="1">
        <v>22</v>
      </c>
      <c r="F9" s="1">
        <v>13</v>
      </c>
      <c r="G9" s="1" t="s">
        <v>79</v>
      </c>
      <c r="H9" s="1" t="s">
        <v>80</v>
      </c>
      <c r="I9" s="1">
        <f t="shared" si="0"/>
        <v>0</v>
      </c>
      <c r="J9" s="1">
        <f t="shared" si="1"/>
        <v>1</v>
      </c>
      <c r="K9" s="1">
        <f t="shared" si="2"/>
        <v>0</v>
      </c>
      <c r="L9" s="1">
        <f t="shared" si="3"/>
        <v>1</v>
      </c>
      <c r="M9" s="1">
        <f t="shared" si="4"/>
        <v>2</v>
      </c>
      <c r="P9" t="str">
        <f>IF(OR(ISNUMBER(SEARCH("全马",A9)),ISNUMBER(SEARCH("42",A9)),ISNUMBER(SEARCH("破三",A9)),ISNUMBER(SEARCH("330",A9)),ISNUMBER(SEARCH("破四",A9)),ISNUMBER(SEARCH("430",A9))),"全马",
 IF(OR(ISNUMBER(SEARCH("半马",A9)),ISNUMBER(SEARCH("21",A9)),ISNUMBER(SEARCH("145",A9)),ISNUMBER(SEARCH("200",A9)),ISNUMBER(SEARCH("130",A9))),"半马",
 "未明确"))</f>
        <v>未明确</v>
      </c>
    </row>
    <row r="10" spans="1:16" x14ac:dyDescent="0.2">
      <c r="A10" s="1" t="s">
        <v>301</v>
      </c>
      <c r="B10" s="2">
        <v>46093</v>
      </c>
      <c r="C10" s="1" t="s">
        <v>18</v>
      </c>
      <c r="D10" s="1">
        <v>378</v>
      </c>
      <c r="E10" s="1">
        <v>45</v>
      </c>
      <c r="F10" s="1">
        <v>24</v>
      </c>
      <c r="G10" s="1" t="s">
        <v>302</v>
      </c>
      <c r="H10" s="1" t="s">
        <v>303</v>
      </c>
      <c r="I10" s="1">
        <f t="shared" si="0"/>
        <v>1</v>
      </c>
      <c r="J10" s="1">
        <f t="shared" si="1"/>
        <v>0</v>
      </c>
      <c r="K10" s="1">
        <f t="shared" si="2"/>
        <v>0</v>
      </c>
      <c r="L10" s="1">
        <f t="shared" si="3"/>
        <v>1</v>
      </c>
      <c r="M10" s="1">
        <f t="shared" si="4"/>
        <v>2</v>
      </c>
      <c r="P10" t="str">
        <f>IF(OR(ISNUMBER(SEARCH("全马",A10)),ISNUMBER(SEARCH("42",A10)),ISNUMBER(SEARCH("破三",A10)),ISNUMBER(SEARCH("330",A10)),ISNUMBER(SEARCH("破四",A10)),ISNUMBER(SEARCH("430",A10))),"全马",
 IF(OR(ISNUMBER(SEARCH("半马",A10)),ISNUMBER(SEARCH("21",A10)),ISNUMBER(SEARCH("145",A10)),ISNUMBER(SEARCH("200",A10)),ISNUMBER(SEARCH("130",A10))),"半马",
 "未明确"))</f>
        <v>未明确</v>
      </c>
    </row>
    <row r="11" spans="1:16" x14ac:dyDescent="0.2">
      <c r="A11" s="1" t="s">
        <v>310</v>
      </c>
      <c r="B11" s="2">
        <v>46087</v>
      </c>
      <c r="C11" s="1" t="s">
        <v>22</v>
      </c>
      <c r="D11" s="1">
        <v>432</v>
      </c>
      <c r="E11" s="1">
        <v>51</v>
      </c>
      <c r="F11" s="1">
        <v>31</v>
      </c>
      <c r="G11" s="1" t="s">
        <v>311</v>
      </c>
      <c r="H11" s="1" t="s">
        <v>312</v>
      </c>
      <c r="I11" s="1">
        <f t="shared" si="0"/>
        <v>1</v>
      </c>
      <c r="J11" s="1">
        <f t="shared" si="1"/>
        <v>1</v>
      </c>
      <c r="K11" s="1">
        <f t="shared" si="2"/>
        <v>0</v>
      </c>
      <c r="L11" s="1">
        <f t="shared" si="3"/>
        <v>0</v>
      </c>
      <c r="M11" s="1">
        <f t="shared" si="4"/>
        <v>2</v>
      </c>
      <c r="P11" t="str">
        <f>IF(OR(ISNUMBER(SEARCH("全马",A11)),ISNUMBER(SEARCH("42",A11)),ISNUMBER(SEARCH("破三",A11)),ISNUMBER(SEARCH("330",A11)),ISNUMBER(SEARCH("破四",A11)),ISNUMBER(SEARCH("430",A11))),"全马",
 IF(OR(ISNUMBER(SEARCH("半马",A11)),ISNUMBER(SEARCH("21",A11)),ISNUMBER(SEARCH("145",A11)),ISNUMBER(SEARCH("200",A11)),ISNUMBER(SEARCH("130",A11))),"半马",
 "未明确"))</f>
        <v>未明确</v>
      </c>
    </row>
    <row r="12" spans="1:16" x14ac:dyDescent="0.2">
      <c r="A12" s="1" t="s">
        <v>340</v>
      </c>
      <c r="B12" s="2">
        <v>46092</v>
      </c>
      <c r="C12" s="1" t="s">
        <v>70</v>
      </c>
      <c r="D12" s="1">
        <v>508</v>
      </c>
      <c r="E12" s="1">
        <v>49</v>
      </c>
      <c r="F12" s="1">
        <v>38</v>
      </c>
      <c r="G12" s="1" t="s">
        <v>341</v>
      </c>
      <c r="H12" s="1" t="s">
        <v>342</v>
      </c>
      <c r="I12" s="1">
        <f t="shared" si="0"/>
        <v>1</v>
      </c>
      <c r="J12" s="1">
        <f t="shared" si="1"/>
        <v>1</v>
      </c>
      <c r="K12" s="1">
        <f t="shared" si="2"/>
        <v>0</v>
      </c>
      <c r="L12" s="1">
        <f t="shared" si="3"/>
        <v>0</v>
      </c>
      <c r="M12" s="1">
        <f t="shared" si="4"/>
        <v>2</v>
      </c>
      <c r="P12" t="str">
        <f>IF(OR(ISNUMBER(SEARCH("全马",A12)),ISNUMBER(SEARCH("42",A12)),ISNUMBER(SEARCH("破三",A12)),ISNUMBER(SEARCH("330",A12)),ISNUMBER(SEARCH("破四",A12)),ISNUMBER(SEARCH("430",A12))),"全马",
 IF(OR(ISNUMBER(SEARCH("半马",A12)),ISNUMBER(SEARCH("21",A12)),ISNUMBER(SEARCH("145",A12)),ISNUMBER(SEARCH("200",A12)),ISNUMBER(SEARCH("130",A12))),"半马",
 "未明确"))</f>
        <v>全马</v>
      </c>
    </row>
    <row r="13" spans="1:16" x14ac:dyDescent="0.2">
      <c r="A13" s="1" t="s">
        <v>352</v>
      </c>
      <c r="B13" s="2">
        <v>46093</v>
      </c>
      <c r="C13" s="1" t="s">
        <v>78</v>
      </c>
      <c r="D13" s="1">
        <v>392</v>
      </c>
      <c r="E13" s="1">
        <v>48</v>
      </c>
      <c r="F13" s="1">
        <v>27</v>
      </c>
      <c r="G13" s="1" t="s">
        <v>353</v>
      </c>
      <c r="H13" s="1" t="s">
        <v>354</v>
      </c>
      <c r="I13" s="1">
        <f t="shared" si="0"/>
        <v>0</v>
      </c>
      <c r="J13" s="1">
        <f t="shared" si="1"/>
        <v>1</v>
      </c>
      <c r="K13" s="1">
        <f t="shared" si="2"/>
        <v>0</v>
      </c>
      <c r="L13" s="1">
        <f t="shared" si="3"/>
        <v>1</v>
      </c>
      <c r="M13" s="1">
        <f t="shared" si="4"/>
        <v>2</v>
      </c>
      <c r="P13" t="str">
        <f>IF(OR(ISNUMBER(SEARCH("全马",A13)),ISNUMBER(SEARCH("42",A13)),ISNUMBER(SEARCH("破三",A13)),ISNUMBER(SEARCH("330",A13)),ISNUMBER(SEARCH("破四",A13)),ISNUMBER(SEARCH("430",A13))),"全马",
 IF(OR(ISNUMBER(SEARCH("半马",A13)),ISNUMBER(SEARCH("21",A13)),ISNUMBER(SEARCH("145",A13)),ISNUMBER(SEARCH("200",A13)),ISNUMBER(SEARCH("130",A13))),"半马",
 "未明确"))</f>
        <v>未明确</v>
      </c>
    </row>
    <row r="14" spans="1:16" x14ac:dyDescent="0.2">
      <c r="A14" s="1" t="s">
        <v>364</v>
      </c>
      <c r="B14" s="2">
        <v>46087</v>
      </c>
      <c r="C14" s="1" t="s">
        <v>106</v>
      </c>
      <c r="D14" s="1">
        <v>366</v>
      </c>
      <c r="E14" s="1">
        <v>33</v>
      </c>
      <c r="F14" s="1">
        <v>22</v>
      </c>
      <c r="G14" s="1" t="s">
        <v>365</v>
      </c>
      <c r="H14" s="1" t="s">
        <v>366</v>
      </c>
      <c r="I14" s="1">
        <f t="shared" si="0"/>
        <v>0</v>
      </c>
      <c r="J14" s="1">
        <f t="shared" si="1"/>
        <v>1</v>
      </c>
      <c r="K14" s="1">
        <f t="shared" si="2"/>
        <v>0</v>
      </c>
      <c r="L14" s="1">
        <f t="shared" si="3"/>
        <v>1</v>
      </c>
      <c r="M14" s="1">
        <f t="shared" si="4"/>
        <v>2</v>
      </c>
      <c r="P14" t="str">
        <f>IF(OR(ISNUMBER(SEARCH("全马",A14)),ISNUMBER(SEARCH("42",A14)),ISNUMBER(SEARCH("破三",A14)),ISNUMBER(SEARCH("330",A14)),ISNUMBER(SEARCH("破四",A14)),ISNUMBER(SEARCH("430",A14))),"全马",
 IF(OR(ISNUMBER(SEARCH("半马",A14)),ISNUMBER(SEARCH("21",A14)),ISNUMBER(SEARCH("145",A14)),ISNUMBER(SEARCH("200",A14)),ISNUMBER(SEARCH("130",A14))),"半马",
 "未明确"))</f>
        <v>未明确</v>
      </c>
    </row>
    <row r="15" spans="1:16" x14ac:dyDescent="0.2">
      <c r="A15" s="1" t="s">
        <v>391</v>
      </c>
      <c r="B15" s="2">
        <v>46092</v>
      </c>
      <c r="C15" s="1" t="s">
        <v>142</v>
      </c>
      <c r="D15" s="1">
        <v>612</v>
      </c>
      <c r="E15" s="1">
        <v>54</v>
      </c>
      <c r="F15" s="1">
        <v>45</v>
      </c>
      <c r="G15" s="1" t="s">
        <v>392</v>
      </c>
      <c r="H15" s="1" t="s">
        <v>393</v>
      </c>
      <c r="I15" s="1">
        <f t="shared" si="0"/>
        <v>1</v>
      </c>
      <c r="J15" s="1">
        <f t="shared" si="1"/>
        <v>1</v>
      </c>
      <c r="K15" s="1">
        <f t="shared" si="2"/>
        <v>0</v>
      </c>
      <c r="L15" s="1">
        <f t="shared" si="3"/>
        <v>0</v>
      </c>
      <c r="M15" s="1">
        <f t="shared" si="4"/>
        <v>2</v>
      </c>
      <c r="P15" t="str">
        <f>IF(OR(ISNUMBER(SEARCH("全马",A15)),ISNUMBER(SEARCH("42",A15)),ISNUMBER(SEARCH("破三",A15)),ISNUMBER(SEARCH("330",A15)),ISNUMBER(SEARCH("破四",A15)),ISNUMBER(SEARCH("430",A15))),"全马",
 IF(OR(ISNUMBER(SEARCH("半马",A15)),ISNUMBER(SEARCH("21",A15)),ISNUMBER(SEARCH("145",A15)),ISNUMBER(SEARCH("200",A15)),ISNUMBER(SEARCH("130",A15))),"半马",
 "未明确"))</f>
        <v>全马</v>
      </c>
    </row>
    <row r="16" spans="1:16" x14ac:dyDescent="0.2">
      <c r="A16" s="1" t="s">
        <v>421</v>
      </c>
      <c r="B16" s="2">
        <v>46095</v>
      </c>
      <c r="C16" s="3" t="s">
        <v>50</v>
      </c>
      <c r="D16" s="1">
        <v>512</v>
      </c>
      <c r="E16" s="1">
        <v>88</v>
      </c>
      <c r="F16" s="1">
        <v>41</v>
      </c>
      <c r="G16" s="1" t="s">
        <v>422</v>
      </c>
      <c r="H16" s="1" t="s">
        <v>423</v>
      </c>
      <c r="I16" s="1">
        <f t="shared" si="0"/>
        <v>1</v>
      </c>
      <c r="J16" s="1">
        <f t="shared" si="1"/>
        <v>1</v>
      </c>
      <c r="K16" s="1">
        <f t="shared" si="2"/>
        <v>0</v>
      </c>
      <c r="L16" s="1">
        <f t="shared" si="3"/>
        <v>0</v>
      </c>
      <c r="M16" s="1">
        <f t="shared" si="4"/>
        <v>2</v>
      </c>
      <c r="P16" t="str">
        <f>IF(OR(ISNUMBER(SEARCH("全马",A16)),ISNUMBER(SEARCH("42",A16)),ISNUMBER(SEARCH("破三",A16)),ISNUMBER(SEARCH("330",A16)),ISNUMBER(SEARCH("破四",A16)),ISNUMBER(SEARCH("430",A16))),"全马",
 IF(OR(ISNUMBER(SEARCH("半马",A16)),ISNUMBER(SEARCH("21",A16)),ISNUMBER(SEARCH("145",A16)),ISNUMBER(SEARCH("200",A16)),ISNUMBER(SEARCH("130",A16))),"半马",
 "未明确"))</f>
        <v>全马</v>
      </c>
    </row>
    <row r="17" spans="1:16" x14ac:dyDescent="0.2">
      <c r="A17" s="1" t="s">
        <v>430</v>
      </c>
      <c r="B17" s="2">
        <v>46096</v>
      </c>
      <c r="C17" s="3" t="s">
        <v>54</v>
      </c>
      <c r="D17" s="1">
        <v>289</v>
      </c>
      <c r="E17" s="1">
        <v>38</v>
      </c>
      <c r="F17" s="1">
        <v>19</v>
      </c>
      <c r="G17" s="1" t="s">
        <v>431</v>
      </c>
      <c r="H17" s="1" t="s">
        <v>432</v>
      </c>
      <c r="I17" s="1">
        <f t="shared" si="0"/>
        <v>1</v>
      </c>
      <c r="J17" s="1">
        <f t="shared" si="1"/>
        <v>0</v>
      </c>
      <c r="K17" s="1">
        <f t="shared" si="2"/>
        <v>0</v>
      </c>
      <c r="L17" s="1">
        <f t="shared" si="3"/>
        <v>1</v>
      </c>
      <c r="M17" s="1">
        <f t="shared" si="4"/>
        <v>2</v>
      </c>
      <c r="P17" t="str">
        <f>IF(OR(ISNUMBER(SEARCH("全马",A17)),ISNUMBER(SEARCH("42",A17)),ISNUMBER(SEARCH("破三",A17)),ISNUMBER(SEARCH("330",A17)),ISNUMBER(SEARCH("破四",A17)),ISNUMBER(SEARCH("430",A17))),"全马",
 IF(OR(ISNUMBER(SEARCH("半马",A17)),ISNUMBER(SEARCH("21",A17)),ISNUMBER(SEARCH("145",A17)),ISNUMBER(SEARCH("200",A17)),ISNUMBER(SEARCH("130",A17))),"半马",
 "未明确"))</f>
        <v>未明确</v>
      </c>
    </row>
    <row r="18" spans="1:16" x14ac:dyDescent="0.2">
      <c r="A18" s="1" t="s">
        <v>498</v>
      </c>
      <c r="B18" s="2">
        <v>46091</v>
      </c>
      <c r="C18" s="3" t="s">
        <v>146</v>
      </c>
      <c r="D18" s="1">
        <v>456</v>
      </c>
      <c r="E18" s="1">
        <v>43</v>
      </c>
      <c r="F18" s="1">
        <v>30</v>
      </c>
      <c r="G18" s="1" t="s">
        <v>499</v>
      </c>
      <c r="H18" s="1" t="s">
        <v>500</v>
      </c>
      <c r="I18" s="1">
        <f t="shared" si="0"/>
        <v>1</v>
      </c>
      <c r="J18" s="1">
        <f t="shared" si="1"/>
        <v>1</v>
      </c>
      <c r="K18" s="1">
        <f t="shared" si="2"/>
        <v>0</v>
      </c>
      <c r="L18" s="1">
        <f t="shared" si="3"/>
        <v>0</v>
      </c>
      <c r="M18" s="1">
        <f t="shared" si="4"/>
        <v>2</v>
      </c>
      <c r="P18" t="str">
        <f>IF(OR(ISNUMBER(SEARCH("全马",A18)),ISNUMBER(SEARCH("42",A18)),ISNUMBER(SEARCH("破三",A18)),ISNUMBER(SEARCH("330",A18)),ISNUMBER(SEARCH("破四",A18)),ISNUMBER(SEARCH("430",A18))),"全马",
 IF(OR(ISNUMBER(SEARCH("半马",A18)),ISNUMBER(SEARCH("21",A18)),ISNUMBER(SEARCH("145",A18)),ISNUMBER(SEARCH("200",A18)),ISNUMBER(SEARCH("130",A18))),"半马",
 "未明确"))</f>
        <v>全马</v>
      </c>
    </row>
    <row r="19" spans="1:16" x14ac:dyDescent="0.2">
      <c r="A19" s="1" t="s">
        <v>507</v>
      </c>
      <c r="B19" s="2">
        <v>46094</v>
      </c>
      <c r="C19" s="3" t="s">
        <v>158</v>
      </c>
      <c r="D19" s="1">
        <v>401</v>
      </c>
      <c r="E19" s="1">
        <v>82</v>
      </c>
      <c r="F19" s="1">
        <v>37</v>
      </c>
      <c r="G19" s="1" t="s">
        <v>508</v>
      </c>
      <c r="H19" s="1" t="s">
        <v>509</v>
      </c>
      <c r="I19" s="1">
        <f t="shared" si="0"/>
        <v>1</v>
      </c>
      <c r="J19" s="1">
        <f t="shared" si="1"/>
        <v>1</v>
      </c>
      <c r="K19" s="1">
        <f t="shared" si="2"/>
        <v>0</v>
      </c>
      <c r="L19" s="1">
        <f t="shared" si="3"/>
        <v>0</v>
      </c>
      <c r="M19" s="1">
        <f t="shared" si="4"/>
        <v>2</v>
      </c>
      <c r="P19" t="str">
        <f>IF(OR(ISNUMBER(SEARCH("全马",A19)),ISNUMBER(SEARCH("42",A19)),ISNUMBER(SEARCH("破三",A19)),ISNUMBER(SEARCH("330",A19)),ISNUMBER(SEARCH("破四",A19)),ISNUMBER(SEARCH("430",A19))),"全马",
 IF(OR(ISNUMBER(SEARCH("半马",A19)),ISNUMBER(SEARCH("21",A19)),ISNUMBER(SEARCH("145",A19)),ISNUMBER(SEARCH("200",A19)),ISNUMBER(SEARCH("130",A19))),"半马",
 "未明确"))</f>
        <v>半马</v>
      </c>
    </row>
    <row r="20" spans="1:16" x14ac:dyDescent="0.2">
      <c r="A20" s="1" t="s">
        <v>513</v>
      </c>
      <c r="B20" s="2">
        <v>46093</v>
      </c>
      <c r="C20" s="3" t="s">
        <v>166</v>
      </c>
      <c r="D20" s="1">
        <v>289</v>
      </c>
      <c r="E20" s="1">
        <v>35</v>
      </c>
      <c r="F20" s="1">
        <v>17</v>
      </c>
      <c r="G20" s="1" t="s">
        <v>514</v>
      </c>
      <c r="H20" s="1" t="s">
        <v>515</v>
      </c>
      <c r="I20" s="1">
        <f t="shared" si="0"/>
        <v>1</v>
      </c>
      <c r="J20" s="1">
        <f t="shared" si="1"/>
        <v>0</v>
      </c>
      <c r="K20" s="1">
        <f t="shared" si="2"/>
        <v>0</v>
      </c>
      <c r="L20" s="1">
        <f t="shared" si="3"/>
        <v>1</v>
      </c>
      <c r="M20" s="1">
        <f t="shared" si="4"/>
        <v>2</v>
      </c>
      <c r="P20" t="str">
        <f>IF(OR(ISNUMBER(SEARCH("全马",A20)),ISNUMBER(SEARCH("42",A20)),ISNUMBER(SEARCH("破三",A20)),ISNUMBER(SEARCH("330",A20)),ISNUMBER(SEARCH("破四",A20)),ISNUMBER(SEARCH("430",A20))),"全马",
 IF(OR(ISNUMBER(SEARCH("半马",A20)),ISNUMBER(SEARCH("21",A20)),ISNUMBER(SEARCH("145",A20)),ISNUMBER(SEARCH("200",A20)),ISNUMBER(SEARCH("130",A20))),"半马",
 "未明确"))</f>
        <v>未明确</v>
      </c>
    </row>
    <row r="21" spans="1:16" x14ac:dyDescent="0.2">
      <c r="A21" s="1" t="s">
        <v>525</v>
      </c>
      <c r="B21" s="2">
        <v>46095</v>
      </c>
      <c r="C21" s="3" t="s">
        <v>182</v>
      </c>
      <c r="D21" s="1">
        <v>456</v>
      </c>
      <c r="E21" s="1">
        <v>67</v>
      </c>
      <c r="F21" s="1">
        <v>38</v>
      </c>
      <c r="G21" s="1" t="s">
        <v>526</v>
      </c>
      <c r="H21" s="1" t="s">
        <v>527</v>
      </c>
      <c r="I21" s="1">
        <f t="shared" si="0"/>
        <v>1</v>
      </c>
      <c r="J21" s="1">
        <f t="shared" si="1"/>
        <v>1</v>
      </c>
      <c r="K21" s="1">
        <f t="shared" si="2"/>
        <v>0</v>
      </c>
      <c r="L21" s="1">
        <f t="shared" si="3"/>
        <v>0</v>
      </c>
      <c r="M21" s="1">
        <f t="shared" si="4"/>
        <v>2</v>
      </c>
      <c r="P21" t="str">
        <f>IF(OR(ISNUMBER(SEARCH("全马",A21)),ISNUMBER(SEARCH("42",A21)),ISNUMBER(SEARCH("破三",A21)),ISNUMBER(SEARCH("330",A21)),ISNUMBER(SEARCH("破四",A21)),ISNUMBER(SEARCH("430",A21))),"全马",
 IF(OR(ISNUMBER(SEARCH("半马",A21)),ISNUMBER(SEARCH("21",A21)),ISNUMBER(SEARCH("145",A21)),ISNUMBER(SEARCH("200",A21)),ISNUMBER(SEARCH("130",A21))),"半马",
 "未明确"))</f>
        <v>半马</v>
      </c>
    </row>
    <row r="22" spans="1:16" x14ac:dyDescent="0.2">
      <c r="A22" s="1" t="s">
        <v>540</v>
      </c>
      <c r="B22" s="2">
        <v>46091</v>
      </c>
      <c r="C22" s="3" t="s">
        <v>202</v>
      </c>
      <c r="D22" s="1">
        <v>234</v>
      </c>
      <c r="E22" s="1">
        <v>45</v>
      </c>
      <c r="F22" s="1">
        <v>15</v>
      </c>
      <c r="G22" s="1" t="s">
        <v>541</v>
      </c>
      <c r="H22" s="1" t="s">
        <v>542</v>
      </c>
      <c r="I22" s="1">
        <f t="shared" si="0"/>
        <v>0</v>
      </c>
      <c r="J22" s="1">
        <f t="shared" si="1"/>
        <v>1</v>
      </c>
      <c r="K22" s="1">
        <f t="shared" si="2"/>
        <v>0</v>
      </c>
      <c r="L22" s="1">
        <f t="shared" si="3"/>
        <v>1</v>
      </c>
      <c r="M22" s="1">
        <f t="shared" si="4"/>
        <v>2</v>
      </c>
      <c r="P22" t="str">
        <f>IF(OR(ISNUMBER(SEARCH("全马",A22)),ISNUMBER(SEARCH("42",A22)),ISNUMBER(SEARCH("破三",A22)),ISNUMBER(SEARCH("330",A22)),ISNUMBER(SEARCH("破四",A22)),ISNUMBER(SEARCH("430",A22))),"全马",
 IF(OR(ISNUMBER(SEARCH("半马",A22)),ISNUMBER(SEARCH("21",A22)),ISNUMBER(SEARCH("145",A22)),ISNUMBER(SEARCH("200",A22)),ISNUMBER(SEARCH("130",A22))),"半马",
 "未明确"))</f>
        <v>未明确</v>
      </c>
    </row>
    <row r="23" spans="1:16" x14ac:dyDescent="0.2">
      <c r="A23" s="1" t="s">
        <v>543</v>
      </c>
      <c r="B23" s="2">
        <v>46094</v>
      </c>
      <c r="C23" s="3" t="s">
        <v>206</v>
      </c>
      <c r="D23" s="1">
        <v>378</v>
      </c>
      <c r="E23" s="1">
        <v>44</v>
      </c>
      <c r="F23" s="1">
        <v>27</v>
      </c>
      <c r="G23" s="1" t="s">
        <v>544</v>
      </c>
      <c r="H23" s="1" t="s">
        <v>545</v>
      </c>
      <c r="I23" s="1">
        <f t="shared" si="0"/>
        <v>1</v>
      </c>
      <c r="J23" s="1">
        <f t="shared" si="1"/>
        <v>1</v>
      </c>
      <c r="K23" s="1">
        <f t="shared" si="2"/>
        <v>0</v>
      </c>
      <c r="L23" s="1">
        <f t="shared" si="3"/>
        <v>0</v>
      </c>
      <c r="M23" s="1">
        <f t="shared" si="4"/>
        <v>2</v>
      </c>
      <c r="P23" t="str">
        <f>IF(OR(ISNUMBER(SEARCH("全马",A23)),ISNUMBER(SEARCH("42",A23)),ISNUMBER(SEARCH("破三",A23)),ISNUMBER(SEARCH("330",A23)),ISNUMBER(SEARCH("破四",A23)),ISNUMBER(SEARCH("430",A23))),"全马",
 IF(OR(ISNUMBER(SEARCH("半马",A23)),ISNUMBER(SEARCH("21",A23)),ISNUMBER(SEARCH("145",A23)),ISNUMBER(SEARCH("200",A23)),ISNUMBER(SEARCH("130",A23))),"半马",
 "未明确"))</f>
        <v>半马</v>
      </c>
    </row>
    <row r="24" spans="1:16" x14ac:dyDescent="0.2">
      <c r="A24" s="1" t="s">
        <v>552</v>
      </c>
      <c r="B24" s="2">
        <v>46098</v>
      </c>
      <c r="C24" s="1" t="s">
        <v>18</v>
      </c>
      <c r="D24" s="1">
        <v>523</v>
      </c>
      <c r="E24" s="1">
        <v>58</v>
      </c>
      <c r="F24" s="1">
        <v>41</v>
      </c>
      <c r="G24" s="1" t="s">
        <v>553</v>
      </c>
      <c r="H24" s="1" t="s">
        <v>554</v>
      </c>
      <c r="I24" s="1">
        <f t="shared" si="0"/>
        <v>1</v>
      </c>
      <c r="J24" s="1">
        <f t="shared" si="1"/>
        <v>1</v>
      </c>
      <c r="K24" s="1">
        <f t="shared" si="2"/>
        <v>0</v>
      </c>
      <c r="L24" s="1">
        <f t="shared" si="3"/>
        <v>0</v>
      </c>
      <c r="M24" s="1">
        <f t="shared" si="4"/>
        <v>2</v>
      </c>
      <c r="P24" t="str">
        <f>IF(OR(ISNUMBER(SEARCH("全马",A24)),ISNUMBER(SEARCH("42",A24)),ISNUMBER(SEARCH("破三",A24)),ISNUMBER(SEARCH("330",A24)),ISNUMBER(SEARCH("破四",A24)),ISNUMBER(SEARCH("430",A24))),"全马",
 IF(OR(ISNUMBER(SEARCH("半马",A24)),ISNUMBER(SEARCH("21",A24)),ISNUMBER(SEARCH("145",A24)),ISNUMBER(SEARCH("200",A24)),ISNUMBER(SEARCH("130",A24))),"半马",
 "未明确"))</f>
        <v>全马</v>
      </c>
    </row>
    <row r="25" spans="1:16" x14ac:dyDescent="0.2">
      <c r="A25" s="1" t="s">
        <v>564</v>
      </c>
      <c r="B25" s="2">
        <v>46098</v>
      </c>
      <c r="C25" s="1" t="s">
        <v>34</v>
      </c>
      <c r="D25" s="1">
        <v>489</v>
      </c>
      <c r="E25" s="1">
        <v>44</v>
      </c>
      <c r="F25" s="1">
        <v>32</v>
      </c>
      <c r="G25" s="1" t="s">
        <v>565</v>
      </c>
      <c r="H25" s="1" t="s">
        <v>566</v>
      </c>
      <c r="I25" s="1">
        <f t="shared" si="0"/>
        <v>1</v>
      </c>
      <c r="J25" s="1">
        <f t="shared" si="1"/>
        <v>1</v>
      </c>
      <c r="K25" s="1">
        <f t="shared" si="2"/>
        <v>0</v>
      </c>
      <c r="L25" s="1">
        <f t="shared" si="3"/>
        <v>0</v>
      </c>
      <c r="M25" s="1">
        <f t="shared" si="4"/>
        <v>2</v>
      </c>
      <c r="P25" t="str">
        <f>IF(OR(ISNUMBER(SEARCH("全马",A25)),ISNUMBER(SEARCH("42",A25)),ISNUMBER(SEARCH("破三",A25)),ISNUMBER(SEARCH("330",A25)),ISNUMBER(SEARCH("破四",A25)),ISNUMBER(SEARCH("430",A25))),"全马",
 IF(OR(ISNUMBER(SEARCH("半马",A25)),ISNUMBER(SEARCH("21",A25)),ISNUMBER(SEARCH("145",A25)),ISNUMBER(SEARCH("200",A25)),ISNUMBER(SEARCH("130",A25))),"半马",
 "未明确"))</f>
        <v>全马</v>
      </c>
    </row>
    <row r="26" spans="1:16" x14ac:dyDescent="0.2">
      <c r="A26" s="1" t="s">
        <v>621</v>
      </c>
      <c r="B26" s="2">
        <v>46098</v>
      </c>
      <c r="C26" s="1" t="s">
        <v>114</v>
      </c>
      <c r="D26" s="1">
        <v>523</v>
      </c>
      <c r="E26" s="1">
        <v>72</v>
      </c>
      <c r="F26" s="1">
        <v>46</v>
      </c>
      <c r="G26" s="1" t="s">
        <v>622</v>
      </c>
      <c r="H26" s="1" t="s">
        <v>623</v>
      </c>
      <c r="I26" s="1">
        <f t="shared" si="0"/>
        <v>1</v>
      </c>
      <c r="J26" s="1">
        <f t="shared" si="1"/>
        <v>1</v>
      </c>
      <c r="K26" s="1">
        <f t="shared" si="2"/>
        <v>0</v>
      </c>
      <c r="L26" s="1">
        <f t="shared" si="3"/>
        <v>0</v>
      </c>
      <c r="M26" s="1">
        <f t="shared" si="4"/>
        <v>2</v>
      </c>
      <c r="P26" t="str">
        <f>IF(OR(ISNUMBER(SEARCH("全马",A26)),ISNUMBER(SEARCH("42",A26)),ISNUMBER(SEARCH("破三",A26)),ISNUMBER(SEARCH("330",A26)),ISNUMBER(SEARCH("破四",A26)),ISNUMBER(SEARCH("430",A26))),"全马",
 IF(OR(ISNUMBER(SEARCH("半马",A26)),ISNUMBER(SEARCH("21",A26)),ISNUMBER(SEARCH("145",A26)),ISNUMBER(SEARCH("200",A26)),ISNUMBER(SEARCH("130",A26))),"半马",
 "未明确"))</f>
        <v>半马</v>
      </c>
    </row>
    <row r="27" spans="1:16" x14ac:dyDescent="0.2">
      <c r="A27" s="1" t="s">
        <v>660</v>
      </c>
      <c r="B27" s="2">
        <v>46096</v>
      </c>
      <c r="C27" s="1" t="s">
        <v>174</v>
      </c>
      <c r="D27" s="1">
        <v>423</v>
      </c>
      <c r="E27" s="1">
        <v>54</v>
      </c>
      <c r="F27" s="1">
        <v>33</v>
      </c>
      <c r="G27" s="1" t="s">
        <v>661</v>
      </c>
      <c r="H27" s="1" t="s">
        <v>662</v>
      </c>
      <c r="I27" s="1">
        <f t="shared" si="0"/>
        <v>1</v>
      </c>
      <c r="J27" s="1">
        <f t="shared" si="1"/>
        <v>1</v>
      </c>
      <c r="K27" s="1">
        <f t="shared" si="2"/>
        <v>0</v>
      </c>
      <c r="L27" s="1">
        <f t="shared" si="3"/>
        <v>0</v>
      </c>
      <c r="M27" s="1">
        <f t="shared" si="4"/>
        <v>2</v>
      </c>
      <c r="P27" t="str">
        <f>IF(OR(ISNUMBER(SEARCH("全马",A27)),ISNUMBER(SEARCH("42",A27)),ISNUMBER(SEARCH("破三",A27)),ISNUMBER(SEARCH("330",A27)),ISNUMBER(SEARCH("破四",A27)),ISNUMBER(SEARCH("430",A27))),"全马",
 IF(OR(ISNUMBER(SEARCH("半马",A27)),ISNUMBER(SEARCH("21",A27)),ISNUMBER(SEARCH("145",A27)),ISNUMBER(SEARCH("200",A27)),ISNUMBER(SEARCH("130",A27))),"半马",
 "未明确"))</f>
        <v>半马</v>
      </c>
    </row>
    <row r="28" spans="1:16" x14ac:dyDescent="0.2">
      <c r="A28" s="1" t="s">
        <v>672</v>
      </c>
      <c r="B28" s="2">
        <v>46096</v>
      </c>
      <c r="C28" s="1" t="s">
        <v>190</v>
      </c>
      <c r="D28" s="1">
        <v>389</v>
      </c>
      <c r="E28" s="1">
        <v>41</v>
      </c>
      <c r="F28" s="1">
        <v>28</v>
      </c>
      <c r="G28" s="1" t="s">
        <v>499</v>
      </c>
      <c r="H28" s="1" t="s">
        <v>673</v>
      </c>
      <c r="I28" s="1">
        <f t="shared" si="0"/>
        <v>1</v>
      </c>
      <c r="J28" s="1">
        <f t="shared" si="1"/>
        <v>1</v>
      </c>
      <c r="K28" s="1">
        <f t="shared" si="2"/>
        <v>0</v>
      </c>
      <c r="L28" s="1">
        <f t="shared" si="3"/>
        <v>0</v>
      </c>
      <c r="M28" s="1">
        <f t="shared" si="4"/>
        <v>2</v>
      </c>
      <c r="P28" t="str">
        <f>IF(OR(ISNUMBER(SEARCH("全马",A28)),ISNUMBER(SEARCH("42",A28)),ISNUMBER(SEARCH("破三",A28)),ISNUMBER(SEARCH("330",A28)),ISNUMBER(SEARCH("破四",A28)),ISNUMBER(SEARCH("430",A28))),"全马",
 IF(OR(ISNUMBER(SEARCH("半马",A28)),ISNUMBER(SEARCH("21",A28)),ISNUMBER(SEARCH("145",A28)),ISNUMBER(SEARCH("200",A28)),ISNUMBER(SEARCH("130",A28))),"半马",
 "未明确"))</f>
        <v>全马</v>
      </c>
    </row>
    <row r="29" spans="1:16" x14ac:dyDescent="0.2">
      <c r="A29" s="1" t="s">
        <v>680</v>
      </c>
      <c r="B29" s="2">
        <v>46098</v>
      </c>
      <c r="C29" s="1" t="s">
        <v>202</v>
      </c>
      <c r="D29" s="1">
        <v>512</v>
      </c>
      <c r="E29" s="1">
        <v>63</v>
      </c>
      <c r="F29" s="1">
        <v>41</v>
      </c>
      <c r="G29" s="1" t="s">
        <v>681</v>
      </c>
      <c r="H29" s="1" t="s">
        <v>542</v>
      </c>
      <c r="I29" s="1">
        <f t="shared" si="0"/>
        <v>1</v>
      </c>
      <c r="J29" s="1">
        <f t="shared" si="1"/>
        <v>1</v>
      </c>
      <c r="K29" s="1">
        <f t="shared" si="2"/>
        <v>0</v>
      </c>
      <c r="L29" s="1">
        <f t="shared" si="3"/>
        <v>0</v>
      </c>
      <c r="M29" s="1">
        <f t="shared" si="4"/>
        <v>2</v>
      </c>
      <c r="P29" t="str">
        <f>IF(OR(ISNUMBER(SEARCH("全马",A29)),ISNUMBER(SEARCH("42",A29)),ISNUMBER(SEARCH("破三",A29)),ISNUMBER(SEARCH("330",A29)),ISNUMBER(SEARCH("破四",A29)),ISNUMBER(SEARCH("430",A29))),"全马",
 IF(OR(ISNUMBER(SEARCH("半马",A29)),ISNUMBER(SEARCH("21",A29)),ISNUMBER(SEARCH("145",A29)),ISNUMBER(SEARCH("200",A29)),ISNUMBER(SEARCH("130",A29))),"半马",
 "未明确"))</f>
        <v>全马</v>
      </c>
    </row>
    <row r="30" spans="1:16" x14ac:dyDescent="0.2">
      <c r="A30" s="1" t="s">
        <v>25</v>
      </c>
      <c r="B30" s="2">
        <v>46093</v>
      </c>
      <c r="C30" s="1" t="s">
        <v>26</v>
      </c>
      <c r="D30" s="1">
        <v>834</v>
      </c>
      <c r="E30" s="1">
        <v>73</v>
      </c>
      <c r="F30" s="1">
        <v>62</v>
      </c>
      <c r="G30" s="1" t="s">
        <v>27</v>
      </c>
      <c r="H30" s="1" t="s">
        <v>28</v>
      </c>
      <c r="I30" s="1">
        <f t="shared" si="0"/>
        <v>1</v>
      </c>
      <c r="J30" s="1">
        <f t="shared" si="1"/>
        <v>1</v>
      </c>
      <c r="K30" s="1">
        <f t="shared" si="2"/>
        <v>0</v>
      </c>
      <c r="L30" s="1">
        <f t="shared" si="3"/>
        <v>0</v>
      </c>
      <c r="M30" s="1">
        <f t="shared" si="4"/>
        <v>2</v>
      </c>
      <c r="P30" t="str">
        <f>IF(OR(ISNUMBER(SEARCH("全马",A30)),ISNUMBER(SEARCH("42",A30)),ISNUMBER(SEARCH("破三",A30)),ISNUMBER(SEARCH("330",A30)),ISNUMBER(SEARCH("破四",A30)),ISNUMBER(SEARCH("430",A30))),"全马",
 IF(OR(ISNUMBER(SEARCH("半马",A30)),ISNUMBER(SEARCH("21",A30)),ISNUMBER(SEARCH("145",A30)),ISNUMBER(SEARCH("200",A30)),ISNUMBER(SEARCH("130",A30))),"半马",
 "未明确"))</f>
        <v>全马</v>
      </c>
    </row>
    <row r="31" spans="1:16" x14ac:dyDescent="0.2">
      <c r="A31" s="1" t="s">
        <v>89</v>
      </c>
      <c r="B31" s="2">
        <v>46093</v>
      </c>
      <c r="C31" s="1" t="s">
        <v>90</v>
      </c>
      <c r="D31" s="1">
        <v>577</v>
      </c>
      <c r="E31" s="1">
        <v>45</v>
      </c>
      <c r="F31" s="1">
        <v>36</v>
      </c>
      <c r="G31" s="1" t="s">
        <v>91</v>
      </c>
      <c r="H31" s="1" t="s">
        <v>92</v>
      </c>
      <c r="I31" s="1">
        <f t="shared" si="0"/>
        <v>1</v>
      </c>
      <c r="J31" s="1">
        <f t="shared" si="1"/>
        <v>1</v>
      </c>
      <c r="K31" s="1">
        <f t="shared" si="2"/>
        <v>0</v>
      </c>
      <c r="L31" s="1">
        <f t="shared" si="3"/>
        <v>0</v>
      </c>
      <c r="M31" s="1">
        <f t="shared" si="4"/>
        <v>2</v>
      </c>
      <c r="P31" t="str">
        <f>IF(OR(ISNUMBER(SEARCH("全马",A31)),ISNUMBER(SEARCH("42",A31)),ISNUMBER(SEARCH("破三",A31)),ISNUMBER(SEARCH("330",A31)),ISNUMBER(SEARCH("破四",A31)),ISNUMBER(SEARCH("430",A31))),"全马",
 IF(OR(ISNUMBER(SEARCH("半马",A31)),ISNUMBER(SEARCH("21",A31)),ISNUMBER(SEARCH("145",A31)),ISNUMBER(SEARCH("200",A31)),ISNUMBER(SEARCH("130",A31))),"半马",
 "未明确"))</f>
        <v>半马</v>
      </c>
    </row>
    <row r="32" spans="1:16" x14ac:dyDescent="0.2">
      <c r="A32" s="1" t="s">
        <v>133</v>
      </c>
      <c r="B32" s="2">
        <v>46092</v>
      </c>
      <c r="C32" s="1" t="s">
        <v>134</v>
      </c>
      <c r="D32" s="1">
        <v>301</v>
      </c>
      <c r="E32" s="1">
        <v>58</v>
      </c>
      <c r="F32" s="1">
        <v>21</v>
      </c>
      <c r="G32" s="1" t="s">
        <v>135</v>
      </c>
      <c r="H32" s="1" t="s">
        <v>136</v>
      </c>
      <c r="I32" s="1">
        <f t="shared" si="0"/>
        <v>1</v>
      </c>
      <c r="J32" s="1">
        <f t="shared" si="1"/>
        <v>1</v>
      </c>
      <c r="K32" s="1">
        <f t="shared" si="2"/>
        <v>0</v>
      </c>
      <c r="L32" s="1">
        <f t="shared" si="3"/>
        <v>0</v>
      </c>
      <c r="M32" s="1">
        <f t="shared" si="4"/>
        <v>2</v>
      </c>
      <c r="P32" t="str">
        <f>IF(OR(ISNUMBER(SEARCH("全马",A32)),ISNUMBER(SEARCH("42",A32)),ISNUMBER(SEARCH("破三",A32)),ISNUMBER(SEARCH("330",A32)),ISNUMBER(SEARCH("破四",A32)),ISNUMBER(SEARCH("430",A32))),"全马",
 IF(OR(ISNUMBER(SEARCH("半马",A32)),ISNUMBER(SEARCH("21",A32)),ISNUMBER(SEARCH("145",A32)),ISNUMBER(SEARCH("200",A32)),ISNUMBER(SEARCH("130",A32))),"半马",
 "未明确"))</f>
        <v>半马</v>
      </c>
    </row>
    <row r="33" spans="1:16" x14ac:dyDescent="0.2">
      <c r="A33" s="1" t="s">
        <v>181</v>
      </c>
      <c r="B33" s="2">
        <v>46087</v>
      </c>
      <c r="C33" s="1" t="s">
        <v>182</v>
      </c>
      <c r="D33" s="1">
        <v>487</v>
      </c>
      <c r="E33" s="1">
        <v>38</v>
      </c>
      <c r="F33" s="1">
        <v>32</v>
      </c>
      <c r="G33" s="1" t="s">
        <v>183</v>
      </c>
      <c r="H33" s="1" t="s">
        <v>184</v>
      </c>
      <c r="I33" s="1">
        <f t="shared" si="0"/>
        <v>1</v>
      </c>
      <c r="J33" s="1">
        <f t="shared" si="1"/>
        <v>1</v>
      </c>
      <c r="K33" s="1">
        <f t="shared" si="2"/>
        <v>0</v>
      </c>
      <c r="L33" s="1">
        <f t="shared" si="3"/>
        <v>0</v>
      </c>
      <c r="M33" s="1">
        <f t="shared" si="4"/>
        <v>2</v>
      </c>
      <c r="P33" t="str">
        <f>IF(OR(ISNUMBER(SEARCH("全马",A33)),ISNUMBER(SEARCH("42",A33)),ISNUMBER(SEARCH("破三",A33)),ISNUMBER(SEARCH("330",A33)),ISNUMBER(SEARCH("破四",A33)),ISNUMBER(SEARCH("430",A33))),"全马",
 IF(OR(ISNUMBER(SEARCH("半马",A33)),ISNUMBER(SEARCH("21",A33)),ISNUMBER(SEARCH("145",A33)),ISNUMBER(SEARCH("200",A33)),ISNUMBER(SEARCH("130",A33))),"半马",
 "未明确"))</f>
        <v>未明确</v>
      </c>
    </row>
    <row r="34" spans="1:16" x14ac:dyDescent="0.2">
      <c r="A34" s="1" t="s">
        <v>213</v>
      </c>
      <c r="B34" s="2">
        <v>46093</v>
      </c>
      <c r="C34" s="1" t="s">
        <v>214</v>
      </c>
      <c r="D34" s="1">
        <v>277</v>
      </c>
      <c r="E34" s="1">
        <v>33</v>
      </c>
      <c r="F34" s="1">
        <v>14</v>
      </c>
      <c r="G34" s="1" t="s">
        <v>215</v>
      </c>
      <c r="H34" s="1" t="s">
        <v>216</v>
      </c>
      <c r="I34" s="1">
        <f t="shared" ref="I34:I65" si="5">--ISNUMBER(SEARCH("间歇",$A34))</f>
        <v>1</v>
      </c>
      <c r="J34" s="1">
        <f t="shared" ref="J34:J65" si="6">--ISNUMBER(SEARCH("LSD",$A34))</f>
        <v>1</v>
      </c>
      <c r="K34" s="1">
        <f t="shared" ref="K34:K65" si="7">--OR(ISNUMBER(SEARCH("节奏",$A34)),ISNUMBER(SEARCH("阈",$A34)))</f>
        <v>0</v>
      </c>
      <c r="L34" s="1">
        <f t="shared" ref="L34:L65" si="8">--ISNUMBER(SEARCH("力量",$A34))</f>
        <v>0</v>
      </c>
      <c r="M34" s="1">
        <f t="shared" ref="M34:M65" si="9">I34+J34+K34+L34</f>
        <v>2</v>
      </c>
      <c r="P34" t="str">
        <f>IF(OR(ISNUMBER(SEARCH("全马",A34)),ISNUMBER(SEARCH("42",A34)),ISNUMBER(SEARCH("破三",A34)),ISNUMBER(SEARCH("330",A34)),ISNUMBER(SEARCH("破四",A34)),ISNUMBER(SEARCH("430",A34))),"全马",
 IF(OR(ISNUMBER(SEARCH("半马",A34)),ISNUMBER(SEARCH("21",A34)),ISNUMBER(SEARCH("145",A34)),ISNUMBER(SEARCH("200",A34)),ISNUMBER(SEARCH("130",A34))),"半马",
 "未明确"))</f>
        <v>未明确</v>
      </c>
    </row>
    <row r="35" spans="1:16" x14ac:dyDescent="0.2">
      <c r="A35" s="1" t="s">
        <v>265</v>
      </c>
      <c r="B35" s="2">
        <v>46092</v>
      </c>
      <c r="C35" s="1" t="s">
        <v>266</v>
      </c>
      <c r="D35" s="1">
        <v>378</v>
      </c>
      <c r="E35" s="1">
        <v>52</v>
      </c>
      <c r="F35" s="1">
        <v>26</v>
      </c>
      <c r="G35" s="1" t="s">
        <v>267</v>
      </c>
      <c r="H35" s="1" t="s">
        <v>268</v>
      </c>
      <c r="I35" s="1">
        <f t="shared" si="5"/>
        <v>1</v>
      </c>
      <c r="J35" s="1">
        <f t="shared" si="6"/>
        <v>1</v>
      </c>
      <c r="K35" s="1">
        <f t="shared" si="7"/>
        <v>0</v>
      </c>
      <c r="L35" s="1">
        <f t="shared" si="8"/>
        <v>0</v>
      </c>
      <c r="M35" s="1">
        <f t="shared" si="9"/>
        <v>2</v>
      </c>
      <c r="P35" t="str">
        <f>IF(OR(ISNUMBER(SEARCH("全马",A35)),ISNUMBER(SEARCH("42",A35)),ISNUMBER(SEARCH("破三",A35)),ISNUMBER(SEARCH("330",A35)),ISNUMBER(SEARCH("破四",A35)),ISNUMBER(SEARCH("430",A35))),"全马",
 IF(OR(ISNUMBER(SEARCH("半马",A35)),ISNUMBER(SEARCH("21",A35)),ISNUMBER(SEARCH("145",A35)),ISNUMBER(SEARCH("200",A35)),ISNUMBER(SEARCH("130",A35))),"半马",
 "未明确"))</f>
        <v>全马</v>
      </c>
    </row>
    <row r="36" spans="1:16" x14ac:dyDescent="0.2">
      <c r="A36" s="1" t="s">
        <v>285</v>
      </c>
      <c r="B36" s="2">
        <v>46088</v>
      </c>
      <c r="C36" s="1" t="s">
        <v>286</v>
      </c>
      <c r="D36" s="1">
        <v>218</v>
      </c>
      <c r="E36" s="1">
        <v>29</v>
      </c>
      <c r="F36" s="1">
        <v>14</v>
      </c>
      <c r="G36" s="1" t="s">
        <v>287</v>
      </c>
      <c r="H36" s="1" t="s">
        <v>288</v>
      </c>
      <c r="I36" s="1">
        <f t="shared" si="5"/>
        <v>1</v>
      </c>
      <c r="J36" s="1">
        <f t="shared" si="6"/>
        <v>0</v>
      </c>
      <c r="K36" s="1">
        <f t="shared" si="7"/>
        <v>1</v>
      </c>
      <c r="L36" s="1">
        <f t="shared" si="8"/>
        <v>0</v>
      </c>
      <c r="M36" s="1">
        <f t="shared" si="9"/>
        <v>2</v>
      </c>
      <c r="P36" t="str">
        <f>IF(OR(ISNUMBER(SEARCH("全马",A36)),ISNUMBER(SEARCH("42",A36)),ISNUMBER(SEARCH("破三",A36)),ISNUMBER(SEARCH("330",A36)),ISNUMBER(SEARCH("破四",A36)),ISNUMBER(SEARCH("430",A36))),"全马",
 IF(OR(ISNUMBER(SEARCH("半马",A36)),ISNUMBER(SEARCH("21",A36)),ISNUMBER(SEARCH("145",A36)),ISNUMBER(SEARCH("200",A36)),ISNUMBER(SEARCH("130",A36))),"半马",
 "未明确"))</f>
        <v>未明确</v>
      </c>
    </row>
    <row r="37" spans="1:16" x14ac:dyDescent="0.2">
      <c r="A37" s="1" t="s">
        <v>304</v>
      </c>
      <c r="B37" s="2">
        <v>46091</v>
      </c>
      <c r="C37" s="1" t="s">
        <v>14</v>
      </c>
      <c r="D37" s="1">
        <v>892</v>
      </c>
      <c r="E37" s="1">
        <v>103</v>
      </c>
      <c r="F37" s="1">
        <v>78</v>
      </c>
      <c r="G37" s="1" t="s">
        <v>305</v>
      </c>
      <c r="H37" s="1" t="s">
        <v>306</v>
      </c>
      <c r="I37" s="1">
        <f t="shared" si="5"/>
        <v>1</v>
      </c>
      <c r="J37" s="1">
        <f t="shared" si="6"/>
        <v>1</v>
      </c>
      <c r="K37" s="1">
        <f t="shared" si="7"/>
        <v>0</v>
      </c>
      <c r="L37" s="1">
        <f t="shared" si="8"/>
        <v>0</v>
      </c>
      <c r="M37" s="1">
        <f t="shared" si="9"/>
        <v>2</v>
      </c>
      <c r="P37" t="str">
        <f>IF(OR(ISNUMBER(SEARCH("全马",A37)),ISNUMBER(SEARCH("42",A37)),ISNUMBER(SEARCH("破三",A37)),ISNUMBER(SEARCH("330",A37)),ISNUMBER(SEARCH("破四",A37)),ISNUMBER(SEARCH("430",A37))),"全马",
 IF(OR(ISNUMBER(SEARCH("半马",A37)),ISNUMBER(SEARCH("21",A37)),ISNUMBER(SEARCH("145",A37)),ISNUMBER(SEARCH("200",A37)),ISNUMBER(SEARCH("130",A37))),"半马",
 "未明确"))</f>
        <v>全马</v>
      </c>
    </row>
    <row r="38" spans="1:16" x14ac:dyDescent="0.2">
      <c r="A38" s="1" t="s">
        <v>358</v>
      </c>
      <c r="B38" s="2">
        <v>46089</v>
      </c>
      <c r="C38" s="1" t="s">
        <v>98</v>
      </c>
      <c r="D38" s="1">
        <v>456</v>
      </c>
      <c r="E38" s="1">
        <v>67</v>
      </c>
      <c r="F38" s="1">
        <v>38</v>
      </c>
      <c r="G38" s="1" t="s">
        <v>359</v>
      </c>
      <c r="H38" s="1" t="s">
        <v>360</v>
      </c>
      <c r="I38" s="1">
        <f t="shared" si="5"/>
        <v>1</v>
      </c>
      <c r="J38" s="1">
        <f t="shared" si="6"/>
        <v>1</v>
      </c>
      <c r="K38" s="1">
        <f t="shared" si="7"/>
        <v>0</v>
      </c>
      <c r="L38" s="1">
        <f t="shared" si="8"/>
        <v>0</v>
      </c>
      <c r="M38" s="1">
        <f t="shared" si="9"/>
        <v>2</v>
      </c>
      <c r="P38" t="str">
        <f>IF(OR(ISNUMBER(SEARCH("全马",A38)),ISNUMBER(SEARCH("42",A38)),ISNUMBER(SEARCH("破三",A38)),ISNUMBER(SEARCH("330",A38)),ISNUMBER(SEARCH("破四",A38)),ISNUMBER(SEARCH("430",A38))),"全马",
 IF(OR(ISNUMBER(SEARCH("半马",A38)),ISNUMBER(SEARCH("21",A38)),ISNUMBER(SEARCH("145",A38)),ISNUMBER(SEARCH("200",A38)),ISNUMBER(SEARCH("130",A38))),"半马",
 "未明确"))</f>
        <v>半马</v>
      </c>
    </row>
    <row r="39" spans="1:16" x14ac:dyDescent="0.2">
      <c r="A39" s="1" t="s">
        <v>586</v>
      </c>
      <c r="B39" s="2">
        <v>46098</v>
      </c>
      <c r="C39" s="1" t="s">
        <v>66</v>
      </c>
      <c r="D39" s="1">
        <v>489</v>
      </c>
      <c r="E39" s="1">
        <v>61</v>
      </c>
      <c r="F39" s="1">
        <v>42</v>
      </c>
      <c r="G39" s="1" t="s">
        <v>587</v>
      </c>
      <c r="H39" s="1" t="s">
        <v>588</v>
      </c>
      <c r="I39" s="1">
        <f t="shared" si="5"/>
        <v>1</v>
      </c>
      <c r="J39" s="1">
        <f t="shared" si="6"/>
        <v>1</v>
      </c>
      <c r="K39" s="1">
        <f t="shared" si="7"/>
        <v>0</v>
      </c>
      <c r="L39" s="1">
        <f t="shared" si="8"/>
        <v>0</v>
      </c>
      <c r="M39" s="1">
        <f t="shared" si="9"/>
        <v>2</v>
      </c>
      <c r="P39" t="str">
        <f>IF(OR(ISNUMBER(SEARCH("全马",A39)),ISNUMBER(SEARCH("42",A39)),ISNUMBER(SEARCH("破三",A39)),ISNUMBER(SEARCH("330",A39)),ISNUMBER(SEARCH("破四",A39)),ISNUMBER(SEARCH("430",A39))),"全马",
 IF(OR(ISNUMBER(SEARCH("半马",A39)),ISNUMBER(SEARCH("21",A39)),ISNUMBER(SEARCH("145",A39)),ISNUMBER(SEARCH("200",A39)),ISNUMBER(SEARCH("130",A39))),"半马",
 "未明确"))</f>
        <v>半马</v>
      </c>
    </row>
    <row r="40" spans="1:16" x14ac:dyDescent="0.2">
      <c r="A40" s="1" t="s">
        <v>651</v>
      </c>
      <c r="B40" s="2">
        <v>46099</v>
      </c>
      <c r="C40" s="1" t="s">
        <v>162</v>
      </c>
      <c r="D40" s="1">
        <v>634</v>
      </c>
      <c r="E40" s="1">
        <v>89</v>
      </c>
      <c r="F40" s="1">
        <v>57</v>
      </c>
      <c r="G40" s="1" t="s">
        <v>652</v>
      </c>
      <c r="H40" s="1" t="s">
        <v>653</v>
      </c>
      <c r="I40" s="1">
        <f t="shared" si="5"/>
        <v>1</v>
      </c>
      <c r="J40" s="1">
        <f t="shared" si="6"/>
        <v>1</v>
      </c>
      <c r="K40" s="1">
        <f t="shared" si="7"/>
        <v>0</v>
      </c>
      <c r="L40" s="1">
        <f t="shared" si="8"/>
        <v>0</v>
      </c>
      <c r="M40" s="1">
        <f t="shared" si="9"/>
        <v>2</v>
      </c>
      <c r="P40" t="str">
        <f>IF(OR(ISNUMBER(SEARCH("全马",A40)),ISNUMBER(SEARCH("42",A40)),ISNUMBER(SEARCH("破三",A40)),ISNUMBER(SEARCH("330",A40)),ISNUMBER(SEARCH("破四",A40)),ISNUMBER(SEARCH("430",A40))),"全马",
 IF(OR(ISNUMBER(SEARCH("半马",A40)),ISNUMBER(SEARCH("21",A40)),ISNUMBER(SEARCH("145",A40)),ISNUMBER(SEARCH("200",A40)),ISNUMBER(SEARCH("130",A40))),"半马",
 "未明确"))</f>
        <v>全马</v>
      </c>
    </row>
    <row r="41" spans="1:16" x14ac:dyDescent="0.2">
      <c r="A41" s="1" t="s">
        <v>13</v>
      </c>
      <c r="B41" s="2">
        <v>46091</v>
      </c>
      <c r="C41" s="1" t="s">
        <v>14</v>
      </c>
      <c r="D41" s="1">
        <v>342</v>
      </c>
      <c r="E41" s="1">
        <v>28</v>
      </c>
      <c r="F41" s="1">
        <v>15</v>
      </c>
      <c r="G41" s="1" t="s">
        <v>15</v>
      </c>
      <c r="H41" s="1" t="s">
        <v>16</v>
      </c>
      <c r="I41" s="1">
        <f t="shared" si="5"/>
        <v>1</v>
      </c>
      <c r="J41" s="1">
        <f t="shared" si="6"/>
        <v>0</v>
      </c>
      <c r="K41" s="1">
        <f t="shared" si="7"/>
        <v>0</v>
      </c>
      <c r="L41" s="1">
        <f t="shared" si="8"/>
        <v>0</v>
      </c>
      <c r="M41" s="1">
        <f t="shared" si="9"/>
        <v>1</v>
      </c>
      <c r="P41" t="str">
        <f>IF(OR(ISNUMBER(SEARCH("全马",A41)),ISNUMBER(SEARCH("42",A41)),ISNUMBER(SEARCH("破三",A41)),ISNUMBER(SEARCH("330",A41)),ISNUMBER(SEARCH("破四",A41)),ISNUMBER(SEARCH("430",A41))),"全马",
 IF(OR(ISNUMBER(SEARCH("半马",A41)),ISNUMBER(SEARCH("21",A41)),ISNUMBER(SEARCH("145",A41)),ISNUMBER(SEARCH("200",A41)),ISNUMBER(SEARCH("130",A41))),"半马",
 "未明确"))</f>
        <v>未明确</v>
      </c>
    </row>
    <row r="42" spans="1:16" x14ac:dyDescent="0.2">
      <c r="A42" s="1" t="s">
        <v>17</v>
      </c>
      <c r="B42" s="2">
        <v>46089</v>
      </c>
      <c r="C42" s="1" t="s">
        <v>18</v>
      </c>
      <c r="D42" s="1">
        <v>567</v>
      </c>
      <c r="E42" s="1">
        <v>42</v>
      </c>
      <c r="F42" s="1">
        <v>31</v>
      </c>
      <c r="G42" s="1" t="s">
        <v>19</v>
      </c>
      <c r="H42" s="1" t="s">
        <v>20</v>
      </c>
      <c r="I42" s="1">
        <f t="shared" si="5"/>
        <v>0</v>
      </c>
      <c r="J42" s="1">
        <f t="shared" si="6"/>
        <v>1</v>
      </c>
      <c r="K42" s="1">
        <f t="shared" si="7"/>
        <v>0</v>
      </c>
      <c r="L42" s="1">
        <f t="shared" si="8"/>
        <v>0</v>
      </c>
      <c r="M42" s="1">
        <f t="shared" si="9"/>
        <v>1</v>
      </c>
      <c r="P42" t="str">
        <f>IF(OR(ISNUMBER(SEARCH("全马",A42)),ISNUMBER(SEARCH("42",A42)),ISNUMBER(SEARCH("破三",A42)),ISNUMBER(SEARCH("330",A42)),ISNUMBER(SEARCH("破四",A42)),ISNUMBER(SEARCH("430",A42))),"全马",
 IF(OR(ISNUMBER(SEARCH("半马",A42)),ISNUMBER(SEARCH("21",A42)),ISNUMBER(SEARCH("145",A42)),ISNUMBER(SEARCH("200",A42)),ISNUMBER(SEARCH("130",A42))),"半马",
 "未明确"))</f>
        <v>未明确</v>
      </c>
    </row>
    <row r="43" spans="1:16" x14ac:dyDescent="0.2">
      <c r="A43" s="1" t="s">
        <v>21</v>
      </c>
      <c r="B43" s="2">
        <v>46086</v>
      </c>
      <c r="C43" s="1" t="s">
        <v>22</v>
      </c>
      <c r="D43" s="1">
        <v>189</v>
      </c>
      <c r="E43" s="1">
        <v>56</v>
      </c>
      <c r="F43" s="1">
        <v>8</v>
      </c>
      <c r="G43" s="1" t="s">
        <v>23</v>
      </c>
      <c r="H43" s="1" t="s">
        <v>24</v>
      </c>
      <c r="I43" s="1">
        <f t="shared" si="5"/>
        <v>1</v>
      </c>
      <c r="J43" s="1">
        <f t="shared" si="6"/>
        <v>0</v>
      </c>
      <c r="K43" s="1">
        <f t="shared" si="7"/>
        <v>0</v>
      </c>
      <c r="L43" s="1">
        <f t="shared" si="8"/>
        <v>0</v>
      </c>
      <c r="M43" s="1">
        <f t="shared" si="9"/>
        <v>1</v>
      </c>
      <c r="P43" t="str">
        <f>IF(OR(ISNUMBER(SEARCH("全马",A43)),ISNUMBER(SEARCH("42",A43)),ISNUMBER(SEARCH("破三",A43)),ISNUMBER(SEARCH("330",A43)),ISNUMBER(SEARCH("破四",A43)),ISNUMBER(SEARCH("430",A43))),"全马",
 IF(OR(ISNUMBER(SEARCH("半马",A43)),ISNUMBER(SEARCH("21",A43)),ISNUMBER(SEARCH("145",A43)),ISNUMBER(SEARCH("200",A43)),ISNUMBER(SEARCH("130",A43))),"半马",
 "未明确"))</f>
        <v>半马</v>
      </c>
    </row>
    <row r="44" spans="1:16" x14ac:dyDescent="0.2">
      <c r="A44" s="1" t="s">
        <v>29</v>
      </c>
      <c r="B44" s="2">
        <v>46088</v>
      </c>
      <c r="C44" s="1" t="s">
        <v>30</v>
      </c>
      <c r="D44" s="1">
        <v>276</v>
      </c>
      <c r="E44" s="1">
        <v>19</v>
      </c>
      <c r="F44" s="1">
        <v>11</v>
      </c>
      <c r="G44" s="1" t="s">
        <v>31</v>
      </c>
      <c r="H44" s="1" t="s">
        <v>32</v>
      </c>
      <c r="I44" s="1">
        <f t="shared" si="5"/>
        <v>1</v>
      </c>
      <c r="J44" s="1">
        <f t="shared" si="6"/>
        <v>0</v>
      </c>
      <c r="K44" s="1">
        <f t="shared" si="7"/>
        <v>0</v>
      </c>
      <c r="L44" s="1">
        <f t="shared" si="8"/>
        <v>0</v>
      </c>
      <c r="M44" s="1">
        <f t="shared" si="9"/>
        <v>1</v>
      </c>
      <c r="P44" t="str">
        <f>IF(OR(ISNUMBER(SEARCH("全马",A44)),ISNUMBER(SEARCH("42",A44)),ISNUMBER(SEARCH("破三",A44)),ISNUMBER(SEARCH("330",A44)),ISNUMBER(SEARCH("破四",A44)),ISNUMBER(SEARCH("430",A44))),"全马",
 IF(OR(ISNUMBER(SEARCH("半马",A44)),ISNUMBER(SEARCH("21",A44)),ISNUMBER(SEARCH("145",A44)),ISNUMBER(SEARCH("200",A44)),ISNUMBER(SEARCH("130",A44))),"半马",
 "未明确"))</f>
        <v>未明确</v>
      </c>
    </row>
    <row r="45" spans="1:16" x14ac:dyDescent="0.2">
      <c r="A45" s="1" t="s">
        <v>33</v>
      </c>
      <c r="B45" s="2">
        <v>46087</v>
      </c>
      <c r="C45" s="1" t="s">
        <v>34</v>
      </c>
      <c r="D45" s="1">
        <v>412</v>
      </c>
      <c r="E45" s="1">
        <v>31</v>
      </c>
      <c r="F45" s="1">
        <v>24</v>
      </c>
      <c r="G45" s="1" t="s">
        <v>35</v>
      </c>
      <c r="H45" s="1" t="s">
        <v>36</v>
      </c>
      <c r="I45" s="1">
        <f t="shared" si="5"/>
        <v>0</v>
      </c>
      <c r="J45" s="1">
        <f t="shared" si="6"/>
        <v>1</v>
      </c>
      <c r="K45" s="1">
        <f t="shared" si="7"/>
        <v>0</v>
      </c>
      <c r="L45" s="1">
        <f t="shared" si="8"/>
        <v>0</v>
      </c>
      <c r="M45" s="1">
        <f t="shared" si="9"/>
        <v>1</v>
      </c>
      <c r="P45" t="str">
        <f>IF(OR(ISNUMBER(SEARCH("全马",A45)),ISNUMBER(SEARCH("42",A45)),ISNUMBER(SEARCH("破三",A45)),ISNUMBER(SEARCH("330",A45)),ISNUMBER(SEARCH("破四",A45)),ISNUMBER(SEARCH("430",A45))),"全马",
 IF(OR(ISNUMBER(SEARCH("半马",A45)),ISNUMBER(SEARCH("21",A45)),ISNUMBER(SEARCH("145",A45)),ISNUMBER(SEARCH("200",A45)),ISNUMBER(SEARCH("130",A45))),"半马",
 "未明确"))</f>
        <v>未明确</v>
      </c>
    </row>
    <row r="46" spans="1:16" x14ac:dyDescent="0.2">
      <c r="A46" s="1" t="s">
        <v>41</v>
      </c>
      <c r="B46" s="2">
        <v>46090</v>
      </c>
      <c r="C46" s="1" t="s">
        <v>42</v>
      </c>
      <c r="D46" s="1">
        <v>504</v>
      </c>
      <c r="E46" s="1">
        <v>38</v>
      </c>
      <c r="F46" s="1">
        <v>19</v>
      </c>
      <c r="G46" s="1" t="s">
        <v>43</v>
      </c>
      <c r="H46" s="1" t="s">
        <v>44</v>
      </c>
      <c r="I46" s="1">
        <f t="shared" si="5"/>
        <v>0</v>
      </c>
      <c r="J46" s="1">
        <f t="shared" si="6"/>
        <v>1</v>
      </c>
      <c r="K46" s="1">
        <f t="shared" si="7"/>
        <v>0</v>
      </c>
      <c r="L46" s="1">
        <f t="shared" si="8"/>
        <v>0</v>
      </c>
      <c r="M46" s="1">
        <f t="shared" si="9"/>
        <v>1</v>
      </c>
      <c r="P46" t="str">
        <f>IF(OR(ISNUMBER(SEARCH("全马",A46)),ISNUMBER(SEARCH("42",A46)),ISNUMBER(SEARCH("破三",A46)),ISNUMBER(SEARCH("330",A46)),ISNUMBER(SEARCH("破四",A46)),ISNUMBER(SEARCH("430",A46))),"全马",
 IF(OR(ISNUMBER(SEARCH("半马",A46)),ISNUMBER(SEARCH("21",A46)),ISNUMBER(SEARCH("145",A46)),ISNUMBER(SEARCH("200",A46)),ISNUMBER(SEARCH("130",A46))),"半马",
 "未明确"))</f>
        <v>未明确</v>
      </c>
    </row>
    <row r="47" spans="1:16" x14ac:dyDescent="0.2">
      <c r="A47" s="1" t="s">
        <v>45</v>
      </c>
      <c r="B47" s="2">
        <v>46085</v>
      </c>
      <c r="C47" s="1" t="s">
        <v>46</v>
      </c>
      <c r="D47" s="1">
        <v>221</v>
      </c>
      <c r="E47" s="1">
        <v>17</v>
      </c>
      <c r="F47" s="1">
        <v>9</v>
      </c>
      <c r="G47" s="1" t="s">
        <v>47</v>
      </c>
      <c r="H47" s="1" t="s">
        <v>48</v>
      </c>
      <c r="I47" s="1">
        <f t="shared" si="5"/>
        <v>1</v>
      </c>
      <c r="J47" s="1">
        <f t="shared" si="6"/>
        <v>0</v>
      </c>
      <c r="K47" s="1">
        <f t="shared" si="7"/>
        <v>0</v>
      </c>
      <c r="L47" s="1">
        <f t="shared" si="8"/>
        <v>0</v>
      </c>
      <c r="M47" s="1">
        <f t="shared" si="9"/>
        <v>1</v>
      </c>
      <c r="P47" t="str">
        <f>IF(OR(ISNUMBER(SEARCH("全马",A47)),ISNUMBER(SEARCH("42",A47)),ISNUMBER(SEARCH("破三",A47)),ISNUMBER(SEARCH("330",A47)),ISNUMBER(SEARCH("破四",A47)),ISNUMBER(SEARCH("430",A47))),"全马",
 IF(OR(ISNUMBER(SEARCH("半马",A47)),ISNUMBER(SEARCH("21",A47)),ISNUMBER(SEARCH("145",A47)),ISNUMBER(SEARCH("200",A47)),ISNUMBER(SEARCH("130",A47))),"半马",
 "未明确"))</f>
        <v>未明确</v>
      </c>
    </row>
    <row r="48" spans="1:16" x14ac:dyDescent="0.2">
      <c r="A48" s="1" t="s">
        <v>53</v>
      </c>
      <c r="B48" s="2">
        <v>46093</v>
      </c>
      <c r="C48" s="1" t="s">
        <v>54</v>
      </c>
      <c r="D48" s="1">
        <v>444</v>
      </c>
      <c r="E48" s="1">
        <v>72</v>
      </c>
      <c r="F48" s="1">
        <v>28</v>
      </c>
      <c r="G48" s="1" t="s">
        <v>55</v>
      </c>
      <c r="H48" s="1" t="s">
        <v>56</v>
      </c>
      <c r="I48" s="1">
        <f t="shared" si="5"/>
        <v>1</v>
      </c>
      <c r="J48" s="1">
        <f t="shared" si="6"/>
        <v>0</v>
      </c>
      <c r="K48" s="1">
        <f t="shared" si="7"/>
        <v>0</v>
      </c>
      <c r="L48" s="1">
        <f t="shared" si="8"/>
        <v>0</v>
      </c>
      <c r="M48" s="1">
        <f t="shared" si="9"/>
        <v>1</v>
      </c>
      <c r="P48" t="str">
        <f>IF(OR(ISNUMBER(SEARCH("全马",A48)),ISNUMBER(SEARCH("42",A48)),ISNUMBER(SEARCH("破三",A48)),ISNUMBER(SEARCH("330",A48)),ISNUMBER(SEARCH("破四",A48)),ISNUMBER(SEARCH("430",A48))),"全马",
 IF(OR(ISNUMBER(SEARCH("半马",A48)),ISNUMBER(SEARCH("21",A48)),ISNUMBER(SEARCH("145",A48)),ISNUMBER(SEARCH("200",A48)),ISNUMBER(SEARCH("130",A48))),"半马",
 "未明确"))</f>
        <v>半马</v>
      </c>
    </row>
    <row r="49" spans="1:16" x14ac:dyDescent="0.2">
      <c r="A49" s="1" t="s">
        <v>57</v>
      </c>
      <c r="B49" s="2">
        <v>46091</v>
      </c>
      <c r="C49" s="1" t="s">
        <v>58</v>
      </c>
      <c r="D49" s="1">
        <v>512</v>
      </c>
      <c r="E49" s="1">
        <v>48</v>
      </c>
      <c r="F49" s="1">
        <v>33</v>
      </c>
      <c r="G49" s="1" t="s">
        <v>59</v>
      </c>
      <c r="H49" s="1" t="s">
        <v>60</v>
      </c>
      <c r="I49" s="1">
        <f t="shared" si="5"/>
        <v>0</v>
      </c>
      <c r="J49" s="1">
        <f t="shared" si="6"/>
        <v>1</v>
      </c>
      <c r="K49" s="1">
        <f t="shared" si="7"/>
        <v>0</v>
      </c>
      <c r="L49" s="1">
        <f t="shared" si="8"/>
        <v>0</v>
      </c>
      <c r="M49" s="1">
        <f t="shared" si="9"/>
        <v>1</v>
      </c>
      <c r="P49" t="str">
        <f>IF(OR(ISNUMBER(SEARCH("全马",A49)),ISNUMBER(SEARCH("42",A49)),ISNUMBER(SEARCH("破三",A49)),ISNUMBER(SEARCH("330",A49)),ISNUMBER(SEARCH("破四",A49)),ISNUMBER(SEARCH("430",A49))),"全马",
 IF(OR(ISNUMBER(SEARCH("半马",A49)),ISNUMBER(SEARCH("21",A49)),ISNUMBER(SEARCH("145",A49)),ISNUMBER(SEARCH("200",A49)),ISNUMBER(SEARCH("130",A49))),"半马",
 "未明确"))</f>
        <v>未明确</v>
      </c>
    </row>
    <row r="50" spans="1:16" x14ac:dyDescent="0.2">
      <c r="A50" s="1" t="s">
        <v>65</v>
      </c>
      <c r="B50" s="2">
        <v>46083</v>
      </c>
      <c r="C50" s="1" t="s">
        <v>66</v>
      </c>
      <c r="D50" s="1">
        <v>198</v>
      </c>
      <c r="E50" s="1">
        <v>63</v>
      </c>
      <c r="F50" s="1">
        <v>12</v>
      </c>
      <c r="G50" s="1" t="s">
        <v>67</v>
      </c>
      <c r="H50" s="1" t="s">
        <v>68</v>
      </c>
      <c r="I50" s="1">
        <f t="shared" si="5"/>
        <v>1</v>
      </c>
      <c r="J50" s="1">
        <f t="shared" si="6"/>
        <v>0</v>
      </c>
      <c r="K50" s="1">
        <f t="shared" si="7"/>
        <v>0</v>
      </c>
      <c r="L50" s="1">
        <f t="shared" si="8"/>
        <v>0</v>
      </c>
      <c r="M50" s="1">
        <f t="shared" si="9"/>
        <v>1</v>
      </c>
      <c r="P50" t="str">
        <f>IF(OR(ISNUMBER(SEARCH("全马",A50)),ISNUMBER(SEARCH("42",A50)),ISNUMBER(SEARCH("破三",A50)),ISNUMBER(SEARCH("330",A50)),ISNUMBER(SEARCH("破四",A50)),ISNUMBER(SEARCH("430",A50))),"全马",
 IF(OR(ISNUMBER(SEARCH("半马",A50)),ISNUMBER(SEARCH("21",A50)),ISNUMBER(SEARCH("145",A50)),ISNUMBER(SEARCH("200",A50)),ISNUMBER(SEARCH("130",A50))),"半马",
 "未明确"))</f>
        <v>未明确</v>
      </c>
    </row>
    <row r="51" spans="1:16" x14ac:dyDescent="0.2">
      <c r="A51" s="1" t="s">
        <v>69</v>
      </c>
      <c r="B51" s="2">
        <v>46092</v>
      </c>
      <c r="C51" s="1" t="s">
        <v>70</v>
      </c>
      <c r="D51" s="1">
        <v>469</v>
      </c>
      <c r="E51" s="1">
        <v>35</v>
      </c>
      <c r="F51" s="1">
        <v>21</v>
      </c>
      <c r="G51" s="1" t="s">
        <v>71</v>
      </c>
      <c r="H51" s="1" t="s">
        <v>72</v>
      </c>
      <c r="I51" s="1">
        <f t="shared" si="5"/>
        <v>0</v>
      </c>
      <c r="J51" s="1">
        <f t="shared" si="6"/>
        <v>1</v>
      </c>
      <c r="K51" s="1">
        <f t="shared" si="7"/>
        <v>0</v>
      </c>
      <c r="L51" s="1">
        <f t="shared" si="8"/>
        <v>0</v>
      </c>
      <c r="M51" s="1">
        <f t="shared" si="9"/>
        <v>1</v>
      </c>
      <c r="P51" t="str">
        <f>IF(OR(ISNUMBER(SEARCH("全马",A51)),ISNUMBER(SEARCH("42",A51)),ISNUMBER(SEARCH("破三",A51)),ISNUMBER(SEARCH("330",A51)),ISNUMBER(SEARCH("破四",A51)),ISNUMBER(SEARCH("430",A51))),"全马",
 IF(OR(ISNUMBER(SEARCH("半马",A51)),ISNUMBER(SEARCH("21",A51)),ISNUMBER(SEARCH("145",A51)),ISNUMBER(SEARCH("200",A51)),ISNUMBER(SEARCH("130",A51))),"半马",
 "未明确"))</f>
        <v>未明确</v>
      </c>
    </row>
    <row r="52" spans="1:16" x14ac:dyDescent="0.2">
      <c r="A52" s="1" t="s">
        <v>81</v>
      </c>
      <c r="B52" s="2">
        <v>46089</v>
      </c>
      <c r="C52" s="1" t="s">
        <v>82</v>
      </c>
      <c r="D52" s="1">
        <v>334</v>
      </c>
      <c r="E52" s="1">
        <v>29</v>
      </c>
      <c r="F52" s="1">
        <v>17</v>
      </c>
      <c r="G52" s="1" t="s">
        <v>83</v>
      </c>
      <c r="H52" s="1" t="s">
        <v>84</v>
      </c>
      <c r="I52" s="1">
        <f t="shared" si="5"/>
        <v>1</v>
      </c>
      <c r="J52" s="1">
        <f t="shared" si="6"/>
        <v>0</v>
      </c>
      <c r="K52" s="1">
        <f t="shared" si="7"/>
        <v>0</v>
      </c>
      <c r="L52" s="1">
        <f t="shared" si="8"/>
        <v>0</v>
      </c>
      <c r="M52" s="1">
        <f t="shared" si="9"/>
        <v>1</v>
      </c>
      <c r="P52" t="str">
        <f>IF(OR(ISNUMBER(SEARCH("全马",A52)),ISNUMBER(SEARCH("42",A52)),ISNUMBER(SEARCH("破三",A52)),ISNUMBER(SEARCH("330",A52)),ISNUMBER(SEARCH("破四",A52)),ISNUMBER(SEARCH("430",A52))),"全马",
 IF(OR(ISNUMBER(SEARCH("半马",A52)),ISNUMBER(SEARCH("21",A52)),ISNUMBER(SEARCH("145",A52)),ISNUMBER(SEARCH("200",A52)),ISNUMBER(SEARCH("130",A52))),"半马",
 "未明确"))</f>
        <v>未明确</v>
      </c>
    </row>
    <row r="53" spans="1:16" x14ac:dyDescent="0.2">
      <c r="A53" s="1" t="s">
        <v>85</v>
      </c>
      <c r="B53" s="2">
        <v>46085</v>
      </c>
      <c r="C53" s="1" t="s">
        <v>86</v>
      </c>
      <c r="D53" s="1">
        <v>411</v>
      </c>
      <c r="E53" s="1">
        <v>31</v>
      </c>
      <c r="F53" s="1">
        <v>20</v>
      </c>
      <c r="G53" s="1" t="s">
        <v>87</v>
      </c>
      <c r="H53" s="1" t="s">
        <v>88</v>
      </c>
      <c r="I53" s="1">
        <f t="shared" si="5"/>
        <v>0</v>
      </c>
      <c r="J53" s="1">
        <f t="shared" si="6"/>
        <v>1</v>
      </c>
      <c r="K53" s="1">
        <f t="shared" si="7"/>
        <v>0</v>
      </c>
      <c r="L53" s="1">
        <f t="shared" si="8"/>
        <v>0</v>
      </c>
      <c r="M53" s="1">
        <f t="shared" si="9"/>
        <v>1</v>
      </c>
      <c r="P53" t="str">
        <f>IF(OR(ISNUMBER(SEARCH("全马",A53)),ISNUMBER(SEARCH("42",A53)),ISNUMBER(SEARCH("破三",A53)),ISNUMBER(SEARCH("330",A53)),ISNUMBER(SEARCH("破四",A53)),ISNUMBER(SEARCH("430",A53))),"全马",
 IF(OR(ISNUMBER(SEARCH("半马",A53)),ISNUMBER(SEARCH("21",A53)),ISNUMBER(SEARCH("145",A53)),ISNUMBER(SEARCH("200",A53)),ISNUMBER(SEARCH("130",A53))),"半马",
 "未明确"))</f>
        <v>未明确</v>
      </c>
    </row>
    <row r="54" spans="1:16" x14ac:dyDescent="0.2">
      <c r="A54" s="1" t="s">
        <v>97</v>
      </c>
      <c r="B54" s="2">
        <v>46084</v>
      </c>
      <c r="C54" s="1" t="s">
        <v>98</v>
      </c>
      <c r="D54" s="1">
        <v>178</v>
      </c>
      <c r="E54" s="1">
        <v>67</v>
      </c>
      <c r="F54" s="1">
        <v>9</v>
      </c>
      <c r="G54" s="1" t="s">
        <v>99</v>
      </c>
      <c r="H54" s="1" t="s">
        <v>100</v>
      </c>
      <c r="I54" s="1">
        <f t="shared" si="5"/>
        <v>0</v>
      </c>
      <c r="J54" s="1">
        <f t="shared" si="6"/>
        <v>1</v>
      </c>
      <c r="K54" s="1">
        <f t="shared" si="7"/>
        <v>0</v>
      </c>
      <c r="L54" s="1">
        <f t="shared" si="8"/>
        <v>0</v>
      </c>
      <c r="M54" s="1">
        <f t="shared" si="9"/>
        <v>1</v>
      </c>
      <c r="P54" t="str">
        <f>IF(OR(ISNUMBER(SEARCH("全马",A54)),ISNUMBER(SEARCH("42",A54)),ISNUMBER(SEARCH("破三",A54)),ISNUMBER(SEARCH("330",A54)),ISNUMBER(SEARCH("破四",A54)),ISNUMBER(SEARCH("430",A54))),"全马",
 IF(OR(ISNUMBER(SEARCH("半马",A54)),ISNUMBER(SEARCH("21",A54)),ISNUMBER(SEARCH("145",A54)),ISNUMBER(SEARCH("200",A54)),ISNUMBER(SEARCH("130",A54))),"半马",
 "未明确"))</f>
        <v>未明确</v>
      </c>
    </row>
    <row r="55" spans="1:16" x14ac:dyDescent="0.2">
      <c r="A55" s="1" t="s">
        <v>101</v>
      </c>
      <c r="B55" s="2">
        <v>46087</v>
      </c>
      <c r="C55" s="1" t="s">
        <v>102</v>
      </c>
      <c r="D55" s="1">
        <v>256</v>
      </c>
      <c r="E55" s="1">
        <v>48</v>
      </c>
      <c r="F55" s="1">
        <v>18</v>
      </c>
      <c r="G55" s="1" t="s">
        <v>103</v>
      </c>
      <c r="H55" s="1" t="s">
        <v>104</v>
      </c>
      <c r="I55" s="1">
        <f t="shared" si="5"/>
        <v>1</v>
      </c>
      <c r="J55" s="1">
        <f t="shared" si="6"/>
        <v>0</v>
      </c>
      <c r="K55" s="1">
        <f t="shared" si="7"/>
        <v>0</v>
      </c>
      <c r="L55" s="1">
        <f t="shared" si="8"/>
        <v>0</v>
      </c>
      <c r="M55" s="1">
        <f t="shared" si="9"/>
        <v>1</v>
      </c>
      <c r="P55" t="str">
        <f>IF(OR(ISNUMBER(SEARCH("全马",A55)),ISNUMBER(SEARCH("42",A55)),ISNUMBER(SEARCH("破三",A55)),ISNUMBER(SEARCH("330",A55)),ISNUMBER(SEARCH("破四",A55)),ISNUMBER(SEARCH("430",A55))),"全马",
 IF(OR(ISNUMBER(SEARCH("半马",A55)),ISNUMBER(SEARCH("21",A55)),ISNUMBER(SEARCH("145",A55)),ISNUMBER(SEARCH("200",A55)),ISNUMBER(SEARCH("130",A55))),"半马",
 "未明确"))</f>
        <v>未明确</v>
      </c>
    </row>
    <row r="56" spans="1:16" x14ac:dyDescent="0.2">
      <c r="A56" s="1" t="s">
        <v>105</v>
      </c>
      <c r="B56" s="2">
        <v>46090</v>
      </c>
      <c r="C56" s="1" t="s">
        <v>106</v>
      </c>
      <c r="D56" s="1">
        <v>313</v>
      </c>
      <c r="E56" s="1">
        <v>92</v>
      </c>
      <c r="F56" s="1">
        <v>27</v>
      </c>
      <c r="G56" s="1" t="s">
        <v>107</v>
      </c>
      <c r="H56" s="1" t="s">
        <v>108</v>
      </c>
      <c r="I56" s="1">
        <f t="shared" si="5"/>
        <v>1</v>
      </c>
      <c r="J56" s="1">
        <f t="shared" si="6"/>
        <v>0</v>
      </c>
      <c r="K56" s="1">
        <f t="shared" si="7"/>
        <v>0</v>
      </c>
      <c r="L56" s="1">
        <f t="shared" si="8"/>
        <v>0</v>
      </c>
      <c r="M56" s="1">
        <f t="shared" si="9"/>
        <v>1</v>
      </c>
      <c r="P56" t="str">
        <f>IF(OR(ISNUMBER(SEARCH("全马",A56)),ISNUMBER(SEARCH("42",A56)),ISNUMBER(SEARCH("破三",A56)),ISNUMBER(SEARCH("330",A56)),ISNUMBER(SEARCH("破四",A56)),ISNUMBER(SEARCH("430",A56))),"全马",
 IF(OR(ISNUMBER(SEARCH("半马",A56)),ISNUMBER(SEARCH("21",A56)),ISNUMBER(SEARCH("145",A56)),ISNUMBER(SEARCH("200",A56)),ISNUMBER(SEARCH("130",A56))),"半马",
 "未明确"))</f>
        <v>未明确</v>
      </c>
    </row>
    <row r="57" spans="1:16" x14ac:dyDescent="0.2">
      <c r="A57" s="1" t="s">
        <v>109</v>
      </c>
      <c r="B57" s="2">
        <v>46092</v>
      </c>
      <c r="C57" s="1" t="s">
        <v>110</v>
      </c>
      <c r="D57" s="1">
        <v>394</v>
      </c>
      <c r="E57" s="1">
        <v>43</v>
      </c>
      <c r="F57" s="1">
        <v>22</v>
      </c>
      <c r="G57" s="1" t="s">
        <v>111</v>
      </c>
      <c r="H57" s="1" t="s">
        <v>112</v>
      </c>
      <c r="I57" s="1">
        <f t="shared" si="5"/>
        <v>0</v>
      </c>
      <c r="J57" s="1">
        <f t="shared" si="6"/>
        <v>1</v>
      </c>
      <c r="K57" s="1">
        <f t="shared" si="7"/>
        <v>0</v>
      </c>
      <c r="L57" s="1">
        <f t="shared" si="8"/>
        <v>0</v>
      </c>
      <c r="M57" s="1">
        <f t="shared" si="9"/>
        <v>1</v>
      </c>
      <c r="P57" t="str">
        <f>IF(OR(ISNUMBER(SEARCH("全马",A57)),ISNUMBER(SEARCH("42",A57)),ISNUMBER(SEARCH("破三",A57)),ISNUMBER(SEARCH("330",A57)),ISNUMBER(SEARCH("破四",A57)),ISNUMBER(SEARCH("430",A57))),"全马",
 IF(OR(ISNUMBER(SEARCH("半马",A57)),ISNUMBER(SEARCH("21",A57)),ISNUMBER(SEARCH("145",A57)),ISNUMBER(SEARCH("200",A57)),ISNUMBER(SEARCH("130",A57))),"半马",
 "未明确"))</f>
        <v>未明确</v>
      </c>
    </row>
    <row r="58" spans="1:16" x14ac:dyDescent="0.2">
      <c r="A58" s="1" t="s">
        <v>113</v>
      </c>
      <c r="B58" s="2">
        <v>46086</v>
      </c>
      <c r="C58" s="1" t="s">
        <v>114</v>
      </c>
      <c r="D58" s="1">
        <v>287</v>
      </c>
      <c r="E58" s="1">
        <v>71</v>
      </c>
      <c r="F58" s="1">
        <v>19</v>
      </c>
      <c r="G58" s="1" t="s">
        <v>115</v>
      </c>
      <c r="H58" s="1" t="s">
        <v>116</v>
      </c>
      <c r="I58" s="1">
        <f t="shared" si="5"/>
        <v>1</v>
      </c>
      <c r="J58" s="1">
        <f t="shared" si="6"/>
        <v>0</v>
      </c>
      <c r="K58" s="1">
        <f t="shared" si="7"/>
        <v>0</v>
      </c>
      <c r="L58" s="1">
        <f t="shared" si="8"/>
        <v>0</v>
      </c>
      <c r="M58" s="1">
        <f t="shared" si="9"/>
        <v>1</v>
      </c>
      <c r="P58" t="str">
        <f>IF(OR(ISNUMBER(SEARCH("全马",A58)),ISNUMBER(SEARCH("42",A58)),ISNUMBER(SEARCH("破三",A58)),ISNUMBER(SEARCH("330",A58)),ISNUMBER(SEARCH("破四",A58)),ISNUMBER(SEARCH("430",A58))),"全马",
 IF(OR(ISNUMBER(SEARCH("半马",A58)),ISNUMBER(SEARCH("21",A58)),ISNUMBER(SEARCH("145",A58)),ISNUMBER(SEARCH("200",A58)),ISNUMBER(SEARCH("130",A58))),"半马",
 "未明确"))</f>
        <v>未明确</v>
      </c>
    </row>
    <row r="59" spans="1:16" x14ac:dyDescent="0.2">
      <c r="A59" s="1" t="s">
        <v>117</v>
      </c>
      <c r="B59" s="2">
        <v>46089</v>
      </c>
      <c r="C59" s="1" t="s">
        <v>118</v>
      </c>
      <c r="D59" s="1">
        <v>209</v>
      </c>
      <c r="E59" s="1">
        <v>21</v>
      </c>
      <c r="F59" s="1">
        <v>10</v>
      </c>
      <c r="G59" s="1" t="s">
        <v>119</v>
      </c>
      <c r="H59" s="1" t="s">
        <v>120</v>
      </c>
      <c r="I59" s="1">
        <f t="shared" si="5"/>
        <v>1</v>
      </c>
      <c r="J59" s="1">
        <f t="shared" si="6"/>
        <v>0</v>
      </c>
      <c r="K59" s="1">
        <f t="shared" si="7"/>
        <v>0</v>
      </c>
      <c r="L59" s="1">
        <f t="shared" si="8"/>
        <v>0</v>
      </c>
      <c r="M59" s="1">
        <f t="shared" si="9"/>
        <v>1</v>
      </c>
      <c r="P59" t="str">
        <f>IF(OR(ISNUMBER(SEARCH("全马",A59)),ISNUMBER(SEARCH("42",A59)),ISNUMBER(SEARCH("破三",A59)),ISNUMBER(SEARCH("330",A59)),ISNUMBER(SEARCH("破四",A59)),ISNUMBER(SEARCH("430",A59))),"全马",
 IF(OR(ISNUMBER(SEARCH("半马",A59)),ISNUMBER(SEARCH("21",A59)),ISNUMBER(SEARCH("145",A59)),ISNUMBER(SEARCH("200",A59)),ISNUMBER(SEARCH("130",A59))),"半马",
 "未明确"))</f>
        <v>全马</v>
      </c>
    </row>
    <row r="60" spans="1:16" x14ac:dyDescent="0.2">
      <c r="A60" s="1" t="s">
        <v>121</v>
      </c>
      <c r="B60" s="2">
        <v>46091</v>
      </c>
      <c r="C60" s="1" t="s">
        <v>122</v>
      </c>
      <c r="D60" s="1">
        <v>345</v>
      </c>
      <c r="E60" s="1">
        <v>38</v>
      </c>
      <c r="F60" s="1">
        <v>23</v>
      </c>
      <c r="G60" s="1" t="s">
        <v>123</v>
      </c>
      <c r="H60" s="1" t="s">
        <v>124</v>
      </c>
      <c r="I60" s="1">
        <f t="shared" si="5"/>
        <v>0</v>
      </c>
      <c r="J60" s="1">
        <f t="shared" si="6"/>
        <v>1</v>
      </c>
      <c r="K60" s="1">
        <f t="shared" si="7"/>
        <v>0</v>
      </c>
      <c r="L60" s="1">
        <f t="shared" si="8"/>
        <v>0</v>
      </c>
      <c r="M60" s="1">
        <f t="shared" si="9"/>
        <v>1</v>
      </c>
      <c r="P60" t="str">
        <f>IF(OR(ISNUMBER(SEARCH("全马",A60)),ISNUMBER(SEARCH("42",A60)),ISNUMBER(SEARCH("破三",A60)),ISNUMBER(SEARCH("330",A60)),ISNUMBER(SEARCH("破四",A60)),ISNUMBER(SEARCH("430",A60))),"全马",
 IF(OR(ISNUMBER(SEARCH("半马",A60)),ISNUMBER(SEARCH("21",A60)),ISNUMBER(SEARCH("145",A60)),ISNUMBER(SEARCH("200",A60)),ISNUMBER(SEARCH("130",A60))),"半马",
 "未明确"))</f>
        <v>未明确</v>
      </c>
    </row>
    <row r="61" spans="1:16" x14ac:dyDescent="0.2">
      <c r="A61" s="1" t="s">
        <v>125</v>
      </c>
      <c r="B61" s="2">
        <v>46083</v>
      </c>
      <c r="C61" s="1" t="s">
        <v>126</v>
      </c>
      <c r="D61" s="1">
        <v>198</v>
      </c>
      <c r="E61" s="1">
        <v>49</v>
      </c>
      <c r="F61" s="1">
        <v>16</v>
      </c>
      <c r="G61" s="1" t="s">
        <v>127</v>
      </c>
      <c r="H61" s="1" t="s">
        <v>128</v>
      </c>
      <c r="I61" s="1">
        <f t="shared" si="5"/>
        <v>1</v>
      </c>
      <c r="J61" s="1">
        <f t="shared" si="6"/>
        <v>0</v>
      </c>
      <c r="K61" s="1">
        <f t="shared" si="7"/>
        <v>0</v>
      </c>
      <c r="L61" s="1">
        <f t="shared" si="8"/>
        <v>0</v>
      </c>
      <c r="M61" s="1">
        <f t="shared" si="9"/>
        <v>1</v>
      </c>
      <c r="P61" t="str">
        <f>IF(OR(ISNUMBER(SEARCH("全马",A61)),ISNUMBER(SEARCH("42",A61)),ISNUMBER(SEARCH("破三",A61)),ISNUMBER(SEARCH("330",A61)),ISNUMBER(SEARCH("破四",A61)),ISNUMBER(SEARCH("430",A61))),"全马",
 IF(OR(ISNUMBER(SEARCH("半马",A61)),ISNUMBER(SEARCH("21",A61)),ISNUMBER(SEARCH("145",A61)),ISNUMBER(SEARCH("200",A61)),ISNUMBER(SEARCH("130",A61))),"半马",
 "未明确"))</f>
        <v>未明确</v>
      </c>
    </row>
    <row r="62" spans="1:16" x14ac:dyDescent="0.2">
      <c r="A62" s="1" t="s">
        <v>129</v>
      </c>
      <c r="B62" s="2">
        <v>46088</v>
      </c>
      <c r="C62" s="1" t="s">
        <v>130</v>
      </c>
      <c r="D62" s="1">
        <v>426</v>
      </c>
      <c r="E62" s="1">
        <v>33</v>
      </c>
      <c r="F62" s="1">
        <v>26</v>
      </c>
      <c r="G62" s="1" t="s">
        <v>131</v>
      </c>
      <c r="H62" s="1" t="s">
        <v>132</v>
      </c>
      <c r="I62" s="1">
        <f t="shared" si="5"/>
        <v>0</v>
      </c>
      <c r="J62" s="1">
        <f t="shared" si="6"/>
        <v>1</v>
      </c>
      <c r="K62" s="1">
        <f t="shared" si="7"/>
        <v>0</v>
      </c>
      <c r="L62" s="1">
        <f t="shared" si="8"/>
        <v>0</v>
      </c>
      <c r="M62" s="1">
        <f t="shared" si="9"/>
        <v>1</v>
      </c>
      <c r="P62" t="str">
        <f>IF(OR(ISNUMBER(SEARCH("全马",A62)),ISNUMBER(SEARCH("42",A62)),ISNUMBER(SEARCH("破三",A62)),ISNUMBER(SEARCH("330",A62)),ISNUMBER(SEARCH("破四",A62)),ISNUMBER(SEARCH("430",A62))),"全马",
 IF(OR(ISNUMBER(SEARCH("半马",A62)),ISNUMBER(SEARCH("21",A62)),ISNUMBER(SEARCH("145",A62)),ISNUMBER(SEARCH("200",A62)),ISNUMBER(SEARCH("130",A62))),"半马",
 "未明确"))</f>
        <v>未明确</v>
      </c>
    </row>
    <row r="63" spans="1:16" x14ac:dyDescent="0.2">
      <c r="A63" s="1" t="s">
        <v>137</v>
      </c>
      <c r="B63" s="2">
        <v>46087</v>
      </c>
      <c r="C63" s="1" t="s">
        <v>138</v>
      </c>
      <c r="D63" s="1">
        <v>189</v>
      </c>
      <c r="E63" s="1">
        <v>25</v>
      </c>
      <c r="F63" s="1">
        <v>12</v>
      </c>
      <c r="G63" s="1" t="s">
        <v>139</v>
      </c>
      <c r="H63" s="1" t="s">
        <v>140</v>
      </c>
      <c r="I63" s="1">
        <f t="shared" si="5"/>
        <v>1</v>
      </c>
      <c r="J63" s="1">
        <f t="shared" si="6"/>
        <v>0</v>
      </c>
      <c r="K63" s="1">
        <f t="shared" si="7"/>
        <v>0</v>
      </c>
      <c r="L63" s="1">
        <f t="shared" si="8"/>
        <v>0</v>
      </c>
      <c r="M63" s="1">
        <f t="shared" si="9"/>
        <v>1</v>
      </c>
      <c r="P63" t="str">
        <f>IF(OR(ISNUMBER(SEARCH("全马",A63)),ISNUMBER(SEARCH("42",A63)),ISNUMBER(SEARCH("破三",A63)),ISNUMBER(SEARCH("330",A63)),ISNUMBER(SEARCH("破四",A63)),ISNUMBER(SEARCH("430",A63))),"全马",
 IF(OR(ISNUMBER(SEARCH("半马",A63)),ISNUMBER(SEARCH("21",A63)),ISNUMBER(SEARCH("145",A63)),ISNUMBER(SEARCH("200",A63)),ISNUMBER(SEARCH("130",A63))),"半马",
 "未明确"))</f>
        <v>未明确</v>
      </c>
    </row>
    <row r="64" spans="1:16" x14ac:dyDescent="0.2">
      <c r="A64" s="1" t="s">
        <v>141</v>
      </c>
      <c r="B64" s="2">
        <v>46090</v>
      </c>
      <c r="C64" s="1" t="s">
        <v>142</v>
      </c>
      <c r="D64" s="1">
        <v>165</v>
      </c>
      <c r="E64" s="1">
        <v>41</v>
      </c>
      <c r="F64" s="1">
        <v>8</v>
      </c>
      <c r="G64" s="1" t="s">
        <v>143</v>
      </c>
      <c r="H64" s="1" t="s">
        <v>144</v>
      </c>
      <c r="I64" s="1">
        <f t="shared" si="5"/>
        <v>0</v>
      </c>
      <c r="J64" s="1">
        <f t="shared" si="6"/>
        <v>1</v>
      </c>
      <c r="K64" s="1">
        <f t="shared" si="7"/>
        <v>0</v>
      </c>
      <c r="L64" s="1">
        <f t="shared" si="8"/>
        <v>0</v>
      </c>
      <c r="M64" s="1">
        <f t="shared" si="9"/>
        <v>1</v>
      </c>
      <c r="P64" t="str">
        <f>IF(OR(ISNUMBER(SEARCH("全马",A64)),ISNUMBER(SEARCH("42",A64)),ISNUMBER(SEARCH("破三",A64)),ISNUMBER(SEARCH("330",A64)),ISNUMBER(SEARCH("破四",A64)),ISNUMBER(SEARCH("430",A64))),"全马",
 IF(OR(ISNUMBER(SEARCH("半马",A64)),ISNUMBER(SEARCH("21",A64)),ISNUMBER(SEARCH("145",A64)),ISNUMBER(SEARCH("200",A64)),ISNUMBER(SEARCH("130",A64))),"半马",
 "未明确"))</f>
        <v>未明确</v>
      </c>
    </row>
    <row r="65" spans="1:16" x14ac:dyDescent="0.2">
      <c r="A65" s="1" t="s">
        <v>145</v>
      </c>
      <c r="B65" s="2">
        <v>46093</v>
      </c>
      <c r="C65" s="1" t="s">
        <v>146</v>
      </c>
      <c r="D65" s="1">
        <v>504</v>
      </c>
      <c r="E65" s="1">
        <v>37</v>
      </c>
      <c r="F65" s="1">
        <v>33</v>
      </c>
      <c r="G65" s="1" t="s">
        <v>147</v>
      </c>
      <c r="H65" s="1" t="s">
        <v>148</v>
      </c>
      <c r="I65" s="1">
        <f t="shared" si="5"/>
        <v>1</v>
      </c>
      <c r="J65" s="1">
        <f t="shared" si="6"/>
        <v>0</v>
      </c>
      <c r="K65" s="1">
        <f t="shared" si="7"/>
        <v>0</v>
      </c>
      <c r="L65" s="1">
        <f t="shared" si="8"/>
        <v>0</v>
      </c>
      <c r="M65" s="1">
        <f t="shared" si="9"/>
        <v>1</v>
      </c>
      <c r="P65" t="str">
        <f>IF(OR(ISNUMBER(SEARCH("全马",A65)),ISNUMBER(SEARCH("42",A65)),ISNUMBER(SEARCH("破三",A65)),ISNUMBER(SEARCH("330",A65)),ISNUMBER(SEARCH("破四",A65)),ISNUMBER(SEARCH("430",A65))),"全马",
 IF(OR(ISNUMBER(SEARCH("半马",A65)),ISNUMBER(SEARCH("21",A65)),ISNUMBER(SEARCH("145",A65)),ISNUMBER(SEARCH("200",A65)),ISNUMBER(SEARCH("130",A65))),"半马",
 "未明确"))</f>
        <v>未明确</v>
      </c>
    </row>
    <row r="66" spans="1:16" x14ac:dyDescent="0.2">
      <c r="A66" s="1" t="s">
        <v>149</v>
      </c>
      <c r="B66" s="2">
        <v>46091</v>
      </c>
      <c r="C66" s="1" t="s">
        <v>150</v>
      </c>
      <c r="D66" s="1">
        <v>274</v>
      </c>
      <c r="E66" s="1">
        <v>29</v>
      </c>
      <c r="F66" s="1">
        <v>15</v>
      </c>
      <c r="G66" s="1" t="s">
        <v>151</v>
      </c>
      <c r="H66" s="1" t="s">
        <v>152</v>
      </c>
      <c r="I66" s="1">
        <f t="shared" ref="I66:I97" si="10">--ISNUMBER(SEARCH("间歇",$A66))</f>
        <v>0</v>
      </c>
      <c r="J66" s="1">
        <f t="shared" ref="J66:J97" si="11">--ISNUMBER(SEARCH("LSD",$A66))</f>
        <v>1</v>
      </c>
      <c r="K66" s="1">
        <f t="shared" ref="K66:K97" si="12">--OR(ISNUMBER(SEARCH("节奏",$A66)),ISNUMBER(SEARCH("阈",$A66)))</f>
        <v>0</v>
      </c>
      <c r="L66" s="1">
        <f t="shared" ref="L66:L97" si="13">--ISNUMBER(SEARCH("力量",$A66))</f>
        <v>0</v>
      </c>
      <c r="M66" s="1">
        <f t="shared" ref="M66:M97" si="14">I66+J66+K66+L66</f>
        <v>1</v>
      </c>
      <c r="P66" t="str">
        <f>IF(OR(ISNUMBER(SEARCH("全马",A66)),ISNUMBER(SEARCH("42",A66)),ISNUMBER(SEARCH("破三",A66)),ISNUMBER(SEARCH("330",A66)),ISNUMBER(SEARCH("破四",A66)),ISNUMBER(SEARCH("430",A66))),"全马",
 IF(OR(ISNUMBER(SEARCH("半马",A66)),ISNUMBER(SEARCH("21",A66)),ISNUMBER(SEARCH("145",A66)),ISNUMBER(SEARCH("200",A66)),ISNUMBER(SEARCH("130",A66))),"半马",
 "未明确"))</f>
        <v>未明确</v>
      </c>
    </row>
    <row r="67" spans="1:16" x14ac:dyDescent="0.2">
      <c r="A67" s="1" t="s">
        <v>157</v>
      </c>
      <c r="B67" s="2">
        <v>46089</v>
      </c>
      <c r="C67" s="1" t="s">
        <v>158</v>
      </c>
      <c r="D67" s="1">
        <v>388</v>
      </c>
      <c r="E67" s="1">
        <v>51</v>
      </c>
      <c r="F67" s="1">
        <v>19</v>
      </c>
      <c r="G67" s="1" t="s">
        <v>159</v>
      </c>
      <c r="H67" s="1" t="s">
        <v>160</v>
      </c>
      <c r="I67" s="1">
        <f t="shared" si="10"/>
        <v>0</v>
      </c>
      <c r="J67" s="1">
        <f t="shared" si="11"/>
        <v>1</v>
      </c>
      <c r="K67" s="1">
        <f t="shared" si="12"/>
        <v>0</v>
      </c>
      <c r="L67" s="1">
        <f t="shared" si="13"/>
        <v>0</v>
      </c>
      <c r="M67" s="1">
        <f t="shared" si="14"/>
        <v>1</v>
      </c>
      <c r="P67" t="str">
        <f>IF(OR(ISNUMBER(SEARCH("全马",A67)),ISNUMBER(SEARCH("42",A67)),ISNUMBER(SEARCH("破三",A67)),ISNUMBER(SEARCH("330",A67)),ISNUMBER(SEARCH("破四",A67)),ISNUMBER(SEARCH("430",A67))),"全马",
 IF(OR(ISNUMBER(SEARCH("半马",A67)),ISNUMBER(SEARCH("21",A67)),ISNUMBER(SEARCH("145",A67)),ISNUMBER(SEARCH("200",A67)),ISNUMBER(SEARCH("130",A67))),"半马",
 "未明确"))</f>
        <v>未明确</v>
      </c>
    </row>
    <row r="68" spans="1:16" x14ac:dyDescent="0.2">
      <c r="A68" s="1" t="s">
        <v>161</v>
      </c>
      <c r="B68" s="2">
        <v>46084</v>
      </c>
      <c r="C68" s="1" t="s">
        <v>162</v>
      </c>
      <c r="D68" s="1">
        <v>201</v>
      </c>
      <c r="E68" s="1">
        <v>29</v>
      </c>
      <c r="F68" s="1">
        <v>11</v>
      </c>
      <c r="G68" s="1" t="s">
        <v>163</v>
      </c>
      <c r="H68" s="1" t="s">
        <v>164</v>
      </c>
      <c r="I68" s="1">
        <f t="shared" si="10"/>
        <v>1</v>
      </c>
      <c r="J68" s="1">
        <f t="shared" si="11"/>
        <v>0</v>
      </c>
      <c r="K68" s="1">
        <f t="shared" si="12"/>
        <v>0</v>
      </c>
      <c r="L68" s="1">
        <f t="shared" si="13"/>
        <v>0</v>
      </c>
      <c r="M68" s="1">
        <f t="shared" si="14"/>
        <v>1</v>
      </c>
      <c r="P68" t="str">
        <f>IF(OR(ISNUMBER(SEARCH("全马",A68)),ISNUMBER(SEARCH("42",A68)),ISNUMBER(SEARCH("破三",A68)),ISNUMBER(SEARCH("330",A68)),ISNUMBER(SEARCH("破四",A68)),ISNUMBER(SEARCH("430",A68))),"全马",
 IF(OR(ISNUMBER(SEARCH("半马",A68)),ISNUMBER(SEARCH("21",A68)),ISNUMBER(SEARCH("145",A68)),ISNUMBER(SEARCH("200",A68)),ISNUMBER(SEARCH("130",A68))),"半马",
 "未明确"))</f>
        <v>未明确</v>
      </c>
    </row>
    <row r="69" spans="1:16" x14ac:dyDescent="0.2">
      <c r="A69" s="1" t="s">
        <v>169</v>
      </c>
      <c r="B69" s="2">
        <v>46088</v>
      </c>
      <c r="C69" s="1" t="s">
        <v>170</v>
      </c>
      <c r="D69" s="1">
        <v>312</v>
      </c>
      <c r="E69" s="1">
        <v>47</v>
      </c>
      <c r="F69" s="1">
        <v>22</v>
      </c>
      <c r="G69" s="1" t="s">
        <v>171</v>
      </c>
      <c r="H69" s="1" t="s">
        <v>172</v>
      </c>
      <c r="I69" s="1">
        <f t="shared" si="10"/>
        <v>0</v>
      </c>
      <c r="J69" s="1">
        <f t="shared" si="11"/>
        <v>1</v>
      </c>
      <c r="K69" s="1">
        <f t="shared" si="12"/>
        <v>0</v>
      </c>
      <c r="L69" s="1">
        <f t="shared" si="13"/>
        <v>0</v>
      </c>
      <c r="M69" s="1">
        <f t="shared" si="14"/>
        <v>1</v>
      </c>
      <c r="P69" t="str">
        <f>IF(OR(ISNUMBER(SEARCH("全马",A69)),ISNUMBER(SEARCH("42",A69)),ISNUMBER(SEARCH("破三",A69)),ISNUMBER(SEARCH("330",A69)),ISNUMBER(SEARCH("破四",A69)),ISNUMBER(SEARCH("430",A69))),"全马",
 IF(OR(ISNUMBER(SEARCH("半马",A69)),ISNUMBER(SEARCH("21",A69)),ISNUMBER(SEARCH("145",A69)),ISNUMBER(SEARCH("200",A69)),ISNUMBER(SEARCH("130",A69))),"半马",
 "未明确"))</f>
        <v>未明确</v>
      </c>
    </row>
    <row r="70" spans="1:16" x14ac:dyDescent="0.2">
      <c r="A70" s="1" t="s">
        <v>177</v>
      </c>
      <c r="B70" s="2">
        <v>46093</v>
      </c>
      <c r="C70" s="1" t="s">
        <v>178</v>
      </c>
      <c r="D70" s="1">
        <v>369</v>
      </c>
      <c r="E70" s="1">
        <v>51</v>
      </c>
      <c r="F70" s="1">
        <v>27</v>
      </c>
      <c r="G70" s="1" t="s">
        <v>179</v>
      </c>
      <c r="H70" s="1" t="s">
        <v>180</v>
      </c>
      <c r="I70" s="1">
        <f t="shared" si="10"/>
        <v>0</v>
      </c>
      <c r="J70" s="1">
        <f t="shared" si="11"/>
        <v>1</v>
      </c>
      <c r="K70" s="1">
        <f t="shared" si="12"/>
        <v>0</v>
      </c>
      <c r="L70" s="1">
        <f t="shared" si="13"/>
        <v>0</v>
      </c>
      <c r="M70" s="1">
        <f t="shared" si="14"/>
        <v>1</v>
      </c>
      <c r="P70" t="str">
        <f>IF(OR(ISNUMBER(SEARCH("全马",A70)),ISNUMBER(SEARCH("42",A70)),ISNUMBER(SEARCH("破三",A70)),ISNUMBER(SEARCH("330",A70)),ISNUMBER(SEARCH("破四",A70)),ISNUMBER(SEARCH("430",A70))),"全马",
 IF(OR(ISNUMBER(SEARCH("半马",A70)),ISNUMBER(SEARCH("21",A70)),ISNUMBER(SEARCH("145",A70)),ISNUMBER(SEARCH("200",A70)),ISNUMBER(SEARCH("130",A70))),"半马",
 "未明确"))</f>
        <v>未明确</v>
      </c>
    </row>
    <row r="71" spans="1:16" x14ac:dyDescent="0.2">
      <c r="A71" s="1" t="s">
        <v>189</v>
      </c>
      <c r="B71" s="2">
        <v>46086</v>
      </c>
      <c r="C71" s="1" t="s">
        <v>190</v>
      </c>
      <c r="D71" s="1">
        <v>298</v>
      </c>
      <c r="E71" s="1">
        <v>27</v>
      </c>
      <c r="F71" s="1">
        <v>18</v>
      </c>
      <c r="G71" s="1" t="s">
        <v>191</v>
      </c>
      <c r="H71" s="1" t="s">
        <v>192</v>
      </c>
      <c r="I71" s="1">
        <f t="shared" si="10"/>
        <v>0</v>
      </c>
      <c r="J71" s="1">
        <f t="shared" si="11"/>
        <v>1</v>
      </c>
      <c r="K71" s="1">
        <f t="shared" si="12"/>
        <v>0</v>
      </c>
      <c r="L71" s="1">
        <f t="shared" si="13"/>
        <v>0</v>
      </c>
      <c r="M71" s="1">
        <f t="shared" si="14"/>
        <v>1</v>
      </c>
      <c r="P71" t="str">
        <f>IF(OR(ISNUMBER(SEARCH("全马",A71)),ISNUMBER(SEARCH("42",A71)),ISNUMBER(SEARCH("破三",A71)),ISNUMBER(SEARCH("330",A71)),ISNUMBER(SEARCH("破四",A71)),ISNUMBER(SEARCH("430",A71))),"全马",
 IF(OR(ISNUMBER(SEARCH("半马",A71)),ISNUMBER(SEARCH("21",A71)),ISNUMBER(SEARCH("145",A71)),ISNUMBER(SEARCH("200",A71)),ISNUMBER(SEARCH("130",A71))),"半马",
 "未明确"))</f>
        <v>未明确</v>
      </c>
    </row>
    <row r="72" spans="1:16" x14ac:dyDescent="0.2">
      <c r="A72" s="1" t="s">
        <v>193</v>
      </c>
      <c r="B72" s="2">
        <v>46089</v>
      </c>
      <c r="C72" s="1" t="s">
        <v>194</v>
      </c>
      <c r="D72" s="1">
        <v>217</v>
      </c>
      <c r="E72" s="1">
        <v>38</v>
      </c>
      <c r="F72" s="1">
        <v>13</v>
      </c>
      <c r="G72" s="1" t="s">
        <v>195</v>
      </c>
      <c r="H72" s="1" t="s">
        <v>196</v>
      </c>
      <c r="I72" s="1">
        <f t="shared" si="10"/>
        <v>1</v>
      </c>
      <c r="J72" s="1">
        <f t="shared" si="11"/>
        <v>0</v>
      </c>
      <c r="K72" s="1">
        <f t="shared" si="12"/>
        <v>0</v>
      </c>
      <c r="L72" s="1">
        <f t="shared" si="13"/>
        <v>0</v>
      </c>
      <c r="M72" s="1">
        <f t="shared" si="14"/>
        <v>1</v>
      </c>
      <c r="P72" t="str">
        <f>IF(OR(ISNUMBER(SEARCH("全马",A72)),ISNUMBER(SEARCH("42",A72)),ISNUMBER(SEARCH("破三",A72)),ISNUMBER(SEARCH("330",A72)),ISNUMBER(SEARCH("破四",A72)),ISNUMBER(SEARCH("430",A72))),"全马",
 IF(OR(ISNUMBER(SEARCH("半马",A72)),ISNUMBER(SEARCH("21",A72)),ISNUMBER(SEARCH("145",A72)),ISNUMBER(SEARCH("200",A72)),ISNUMBER(SEARCH("130",A72))),"半马",
 "未明确"))</f>
        <v>未明确</v>
      </c>
    </row>
    <row r="73" spans="1:16" x14ac:dyDescent="0.2">
      <c r="A73" s="1" t="s">
        <v>197</v>
      </c>
      <c r="B73" s="2">
        <v>46092</v>
      </c>
      <c r="C73" s="1" t="s">
        <v>198</v>
      </c>
      <c r="D73" s="1">
        <v>324</v>
      </c>
      <c r="E73" s="1">
        <v>35</v>
      </c>
      <c r="F73" s="1">
        <v>20</v>
      </c>
      <c r="G73" s="1" t="s">
        <v>199</v>
      </c>
      <c r="H73" s="1" t="s">
        <v>200</v>
      </c>
      <c r="I73" s="1">
        <f t="shared" si="10"/>
        <v>0</v>
      </c>
      <c r="J73" s="1">
        <f t="shared" si="11"/>
        <v>1</v>
      </c>
      <c r="K73" s="1">
        <f t="shared" si="12"/>
        <v>0</v>
      </c>
      <c r="L73" s="1">
        <f t="shared" si="13"/>
        <v>0</v>
      </c>
      <c r="M73" s="1">
        <f t="shared" si="14"/>
        <v>1</v>
      </c>
      <c r="P73" t="str">
        <f>IF(OR(ISNUMBER(SEARCH("全马",A73)),ISNUMBER(SEARCH("42",A73)),ISNUMBER(SEARCH("破三",A73)),ISNUMBER(SEARCH("330",A73)),ISNUMBER(SEARCH("破四",A73)),ISNUMBER(SEARCH("430",A73))),"全马",
 IF(OR(ISNUMBER(SEARCH("半马",A73)),ISNUMBER(SEARCH("21",A73)),ISNUMBER(SEARCH("145",A73)),ISNUMBER(SEARCH("200",A73)),ISNUMBER(SEARCH("130",A73))),"半马",
 "未明确"))</f>
        <v>未明确</v>
      </c>
    </row>
    <row r="74" spans="1:16" x14ac:dyDescent="0.2">
      <c r="A74" s="1" t="s">
        <v>201</v>
      </c>
      <c r="B74" s="2">
        <v>46088</v>
      </c>
      <c r="C74" s="1" t="s">
        <v>202</v>
      </c>
      <c r="D74" s="1">
        <v>412</v>
      </c>
      <c r="E74" s="1">
        <v>44</v>
      </c>
      <c r="F74" s="1">
        <v>25</v>
      </c>
      <c r="G74" s="1" t="s">
        <v>203</v>
      </c>
      <c r="H74" s="1" t="s">
        <v>204</v>
      </c>
      <c r="I74" s="1">
        <f t="shared" si="10"/>
        <v>1</v>
      </c>
      <c r="J74" s="1">
        <f t="shared" si="11"/>
        <v>0</v>
      </c>
      <c r="K74" s="1">
        <f t="shared" si="12"/>
        <v>0</v>
      </c>
      <c r="L74" s="1">
        <f t="shared" si="13"/>
        <v>0</v>
      </c>
      <c r="M74" s="1">
        <f t="shared" si="14"/>
        <v>1</v>
      </c>
      <c r="P74" t="str">
        <f>IF(OR(ISNUMBER(SEARCH("全马",A74)),ISNUMBER(SEARCH("42",A74)),ISNUMBER(SEARCH("破三",A74)),ISNUMBER(SEARCH("330",A74)),ISNUMBER(SEARCH("破四",A74)),ISNUMBER(SEARCH("430",A74))),"全马",
 IF(OR(ISNUMBER(SEARCH("半马",A74)),ISNUMBER(SEARCH("21",A74)),ISNUMBER(SEARCH("145",A74)),ISNUMBER(SEARCH("200",A74)),ISNUMBER(SEARCH("130",A74))),"半马",
 "未明确"))</f>
        <v>半马</v>
      </c>
    </row>
    <row r="75" spans="1:16" x14ac:dyDescent="0.2">
      <c r="A75" s="1" t="s">
        <v>205</v>
      </c>
      <c r="B75" s="2">
        <v>46090</v>
      </c>
      <c r="C75" s="1" t="s">
        <v>206</v>
      </c>
      <c r="D75" s="1">
        <v>256</v>
      </c>
      <c r="E75" s="1">
        <v>30</v>
      </c>
      <c r="F75" s="1">
        <v>16</v>
      </c>
      <c r="G75" s="1" t="s">
        <v>207</v>
      </c>
      <c r="H75" s="1" t="s">
        <v>208</v>
      </c>
      <c r="I75" s="1">
        <f t="shared" si="10"/>
        <v>0</v>
      </c>
      <c r="J75" s="1">
        <f t="shared" si="11"/>
        <v>1</v>
      </c>
      <c r="K75" s="1">
        <f t="shared" si="12"/>
        <v>0</v>
      </c>
      <c r="L75" s="1">
        <f t="shared" si="13"/>
        <v>0</v>
      </c>
      <c r="M75" s="1">
        <f t="shared" si="14"/>
        <v>1</v>
      </c>
      <c r="P75" t="str">
        <f>IF(OR(ISNUMBER(SEARCH("全马",A75)),ISNUMBER(SEARCH("42",A75)),ISNUMBER(SEARCH("破三",A75)),ISNUMBER(SEARCH("330",A75)),ISNUMBER(SEARCH("破四",A75)),ISNUMBER(SEARCH("430",A75))),"全马",
 IF(OR(ISNUMBER(SEARCH("半马",A75)),ISNUMBER(SEARCH("21",A75)),ISNUMBER(SEARCH("145",A75)),ISNUMBER(SEARCH("200",A75)),ISNUMBER(SEARCH("130",A75))),"半马",
 "未明确"))</f>
        <v>未明确</v>
      </c>
    </row>
    <row r="76" spans="1:16" x14ac:dyDescent="0.2">
      <c r="A76" s="1" t="s">
        <v>209</v>
      </c>
      <c r="B76" s="2">
        <v>46085</v>
      </c>
      <c r="C76" s="1" t="s">
        <v>210</v>
      </c>
      <c r="D76" s="1">
        <v>389</v>
      </c>
      <c r="E76" s="1">
        <v>41</v>
      </c>
      <c r="F76" s="1">
        <v>28</v>
      </c>
      <c r="G76" s="1" t="s">
        <v>211</v>
      </c>
      <c r="H76" s="1" t="s">
        <v>212</v>
      </c>
      <c r="I76" s="1">
        <f t="shared" si="10"/>
        <v>1</v>
      </c>
      <c r="J76" s="1">
        <f t="shared" si="11"/>
        <v>0</v>
      </c>
      <c r="K76" s="1">
        <f t="shared" si="12"/>
        <v>0</v>
      </c>
      <c r="L76" s="1">
        <f t="shared" si="13"/>
        <v>0</v>
      </c>
      <c r="M76" s="1">
        <f t="shared" si="14"/>
        <v>1</v>
      </c>
      <c r="P76" t="str">
        <f>IF(OR(ISNUMBER(SEARCH("全马",A76)),ISNUMBER(SEARCH("42",A76)),ISNUMBER(SEARCH("破三",A76)),ISNUMBER(SEARCH("330",A76)),ISNUMBER(SEARCH("破四",A76)),ISNUMBER(SEARCH("430",A76))),"全马",
 IF(OR(ISNUMBER(SEARCH("半马",A76)),ISNUMBER(SEARCH("21",A76)),ISNUMBER(SEARCH("145",A76)),ISNUMBER(SEARCH("200",A76)),ISNUMBER(SEARCH("130",A76))),"半马",
 "未明确"))</f>
        <v>全马</v>
      </c>
    </row>
    <row r="77" spans="1:16" x14ac:dyDescent="0.2">
      <c r="A77" s="1" t="s">
        <v>217</v>
      </c>
      <c r="B77" s="2">
        <v>46091</v>
      </c>
      <c r="C77" s="1" t="s">
        <v>218</v>
      </c>
      <c r="D77" s="1">
        <v>193</v>
      </c>
      <c r="E77" s="1">
        <v>82</v>
      </c>
      <c r="F77" s="1">
        <v>17</v>
      </c>
      <c r="G77" s="1" t="s">
        <v>219</v>
      </c>
      <c r="H77" s="1" t="s">
        <v>220</v>
      </c>
      <c r="I77" s="1">
        <f t="shared" si="10"/>
        <v>0</v>
      </c>
      <c r="J77" s="1">
        <f t="shared" si="11"/>
        <v>1</v>
      </c>
      <c r="K77" s="1">
        <f t="shared" si="12"/>
        <v>0</v>
      </c>
      <c r="L77" s="1">
        <f t="shared" si="13"/>
        <v>0</v>
      </c>
      <c r="M77" s="1">
        <f t="shared" si="14"/>
        <v>1</v>
      </c>
      <c r="P77" t="str">
        <f>IF(OR(ISNUMBER(SEARCH("全马",A77)),ISNUMBER(SEARCH("42",A77)),ISNUMBER(SEARCH("破三",A77)),ISNUMBER(SEARCH("330",A77)),ISNUMBER(SEARCH("破四",A77)),ISNUMBER(SEARCH("430",A77))),"全马",
 IF(OR(ISNUMBER(SEARCH("半马",A77)),ISNUMBER(SEARCH("21",A77)),ISNUMBER(SEARCH("145",A77)),ISNUMBER(SEARCH("200",A77)),ISNUMBER(SEARCH("130",A77))),"半马",
 "未明确"))</f>
        <v>未明确</v>
      </c>
    </row>
    <row r="78" spans="1:16" x14ac:dyDescent="0.2">
      <c r="A78" s="1" t="s">
        <v>221</v>
      </c>
      <c r="B78" s="2">
        <v>46087</v>
      </c>
      <c r="C78" s="1" t="s">
        <v>222</v>
      </c>
      <c r="D78" s="1">
        <v>234</v>
      </c>
      <c r="E78" s="1">
        <v>26</v>
      </c>
      <c r="F78" s="1">
        <v>11</v>
      </c>
      <c r="G78" s="1" t="s">
        <v>223</v>
      </c>
      <c r="H78" s="1" t="s">
        <v>224</v>
      </c>
      <c r="I78" s="1">
        <f t="shared" si="10"/>
        <v>1</v>
      </c>
      <c r="J78" s="1">
        <f t="shared" si="11"/>
        <v>0</v>
      </c>
      <c r="K78" s="1">
        <f t="shared" si="12"/>
        <v>0</v>
      </c>
      <c r="L78" s="1">
        <f t="shared" si="13"/>
        <v>0</v>
      </c>
      <c r="M78" s="1">
        <f t="shared" si="14"/>
        <v>1</v>
      </c>
      <c r="P78" t="str">
        <f>IF(OR(ISNUMBER(SEARCH("全马",A78)),ISNUMBER(SEARCH("42",A78)),ISNUMBER(SEARCH("破三",A78)),ISNUMBER(SEARCH("330",A78)),ISNUMBER(SEARCH("破四",A78)),ISNUMBER(SEARCH("430",A78))),"全马",
 IF(OR(ISNUMBER(SEARCH("半马",A78)),ISNUMBER(SEARCH("21",A78)),ISNUMBER(SEARCH("145",A78)),ISNUMBER(SEARCH("200",A78)),ISNUMBER(SEARCH("130",A78))),"半马",
 "未明确"))</f>
        <v>未明确</v>
      </c>
    </row>
    <row r="79" spans="1:16" x14ac:dyDescent="0.2">
      <c r="A79" s="1" t="s">
        <v>225</v>
      </c>
      <c r="B79" s="2">
        <v>46092</v>
      </c>
      <c r="C79" s="1" t="s">
        <v>226</v>
      </c>
      <c r="D79" s="1">
        <v>508</v>
      </c>
      <c r="E79" s="1">
        <v>49</v>
      </c>
      <c r="F79" s="1">
        <v>34</v>
      </c>
      <c r="G79" s="1" t="s">
        <v>227</v>
      </c>
      <c r="H79" s="1" t="s">
        <v>228</v>
      </c>
      <c r="I79" s="1">
        <f t="shared" si="10"/>
        <v>0</v>
      </c>
      <c r="J79" s="1">
        <f t="shared" si="11"/>
        <v>1</v>
      </c>
      <c r="K79" s="1">
        <f t="shared" si="12"/>
        <v>0</v>
      </c>
      <c r="L79" s="1">
        <f t="shared" si="13"/>
        <v>0</v>
      </c>
      <c r="M79" s="1">
        <f t="shared" si="14"/>
        <v>1</v>
      </c>
      <c r="P79" t="str">
        <f>IF(OR(ISNUMBER(SEARCH("全马",A79)),ISNUMBER(SEARCH("42",A79)),ISNUMBER(SEARCH("破三",A79)),ISNUMBER(SEARCH("330",A79)),ISNUMBER(SEARCH("破四",A79)),ISNUMBER(SEARCH("430",A79))),"全马",
 IF(OR(ISNUMBER(SEARCH("半马",A79)),ISNUMBER(SEARCH("21",A79)),ISNUMBER(SEARCH("145",A79)),ISNUMBER(SEARCH("200",A79)),ISNUMBER(SEARCH("130",A79))),"半马",
 "未明确"))</f>
        <v>全马</v>
      </c>
    </row>
    <row r="80" spans="1:16" x14ac:dyDescent="0.2">
      <c r="A80" s="1" t="s">
        <v>229</v>
      </c>
      <c r="B80" s="2">
        <v>46086</v>
      </c>
      <c r="C80" s="1" t="s">
        <v>230</v>
      </c>
      <c r="D80" s="1">
        <v>326</v>
      </c>
      <c r="E80" s="1">
        <v>38</v>
      </c>
      <c r="F80" s="1">
        <v>21</v>
      </c>
      <c r="G80" s="1" t="s">
        <v>231</v>
      </c>
      <c r="H80" s="1" t="s">
        <v>232</v>
      </c>
      <c r="I80" s="1">
        <f t="shared" si="10"/>
        <v>0</v>
      </c>
      <c r="J80" s="1">
        <f t="shared" si="11"/>
        <v>1</v>
      </c>
      <c r="K80" s="1">
        <f t="shared" si="12"/>
        <v>0</v>
      </c>
      <c r="L80" s="1">
        <f t="shared" si="13"/>
        <v>0</v>
      </c>
      <c r="M80" s="1">
        <f t="shared" si="14"/>
        <v>1</v>
      </c>
      <c r="P80" t="str">
        <f>IF(OR(ISNUMBER(SEARCH("全马",A80)),ISNUMBER(SEARCH("42",A80)),ISNUMBER(SEARCH("破三",A80)),ISNUMBER(SEARCH("330",A80)),ISNUMBER(SEARCH("破四",A80)),ISNUMBER(SEARCH("430",A80))),"全马",
 IF(OR(ISNUMBER(SEARCH("半马",A80)),ISNUMBER(SEARCH("21",A80)),ISNUMBER(SEARCH("145",A80)),ISNUMBER(SEARCH("200",A80)),ISNUMBER(SEARCH("130",A80))),"半马",
 "未明确"))</f>
        <v>未明确</v>
      </c>
    </row>
    <row r="81" spans="1:16" x14ac:dyDescent="0.2">
      <c r="A81" s="1" t="s">
        <v>233</v>
      </c>
      <c r="B81" s="2">
        <v>46089</v>
      </c>
      <c r="C81" s="1" t="s">
        <v>234</v>
      </c>
      <c r="D81" s="1">
        <v>215</v>
      </c>
      <c r="E81" s="1">
        <v>58</v>
      </c>
      <c r="F81" s="1">
        <v>15</v>
      </c>
      <c r="G81" s="1" t="s">
        <v>235</v>
      </c>
      <c r="H81" s="1" t="s">
        <v>236</v>
      </c>
      <c r="I81" s="1">
        <f t="shared" si="10"/>
        <v>1</v>
      </c>
      <c r="J81" s="1">
        <f t="shared" si="11"/>
        <v>0</v>
      </c>
      <c r="K81" s="1">
        <f t="shared" si="12"/>
        <v>0</v>
      </c>
      <c r="L81" s="1">
        <f t="shared" si="13"/>
        <v>0</v>
      </c>
      <c r="M81" s="1">
        <f t="shared" si="14"/>
        <v>1</v>
      </c>
      <c r="P81" t="str">
        <f>IF(OR(ISNUMBER(SEARCH("全马",A81)),ISNUMBER(SEARCH("42",A81)),ISNUMBER(SEARCH("破三",A81)),ISNUMBER(SEARCH("330",A81)),ISNUMBER(SEARCH("破四",A81)),ISNUMBER(SEARCH("430",A81))),"全马",
 IF(OR(ISNUMBER(SEARCH("半马",A81)),ISNUMBER(SEARCH("21",A81)),ISNUMBER(SEARCH("145",A81)),ISNUMBER(SEARCH("200",A81)),ISNUMBER(SEARCH("130",A81))),"半马",
 "未明确"))</f>
        <v>未明确</v>
      </c>
    </row>
    <row r="82" spans="1:16" x14ac:dyDescent="0.2">
      <c r="A82" s="1" t="s">
        <v>237</v>
      </c>
      <c r="B82" s="2">
        <v>46094</v>
      </c>
      <c r="C82" s="1" t="s">
        <v>238</v>
      </c>
      <c r="D82" s="1">
        <v>453</v>
      </c>
      <c r="E82" s="1">
        <v>42</v>
      </c>
      <c r="F82" s="1">
        <v>29</v>
      </c>
      <c r="G82" s="1" t="s">
        <v>239</v>
      </c>
      <c r="H82" s="1" t="s">
        <v>240</v>
      </c>
      <c r="I82" s="1">
        <f t="shared" si="10"/>
        <v>0</v>
      </c>
      <c r="J82" s="1">
        <f t="shared" si="11"/>
        <v>1</v>
      </c>
      <c r="K82" s="1">
        <f t="shared" si="12"/>
        <v>0</v>
      </c>
      <c r="L82" s="1">
        <f t="shared" si="13"/>
        <v>0</v>
      </c>
      <c r="M82" s="1">
        <f t="shared" si="14"/>
        <v>1</v>
      </c>
      <c r="P82" t="str">
        <f>IF(OR(ISNUMBER(SEARCH("全马",A82)),ISNUMBER(SEARCH("42",A82)),ISNUMBER(SEARCH("破三",A82)),ISNUMBER(SEARCH("330",A82)),ISNUMBER(SEARCH("破四",A82)),ISNUMBER(SEARCH("430",A82))),"全马",
 IF(OR(ISNUMBER(SEARCH("半马",A82)),ISNUMBER(SEARCH("21",A82)),ISNUMBER(SEARCH("145",A82)),ISNUMBER(SEARCH("200",A82)),ISNUMBER(SEARCH("130",A82))),"半马",
 "未明确"))</f>
        <v>未明确</v>
      </c>
    </row>
    <row r="83" spans="1:16" x14ac:dyDescent="0.2">
      <c r="A83" s="1" t="s">
        <v>241</v>
      </c>
      <c r="B83" s="2">
        <v>46092</v>
      </c>
      <c r="C83" s="1" t="s">
        <v>242</v>
      </c>
      <c r="D83" s="1">
        <v>311</v>
      </c>
      <c r="E83" s="1">
        <v>36</v>
      </c>
      <c r="F83" s="1">
        <v>19</v>
      </c>
      <c r="G83" s="1" t="s">
        <v>243</v>
      </c>
      <c r="H83" s="1" t="s">
        <v>244</v>
      </c>
      <c r="I83" s="1">
        <f t="shared" si="10"/>
        <v>0</v>
      </c>
      <c r="J83" s="1">
        <f t="shared" si="11"/>
        <v>1</v>
      </c>
      <c r="K83" s="1">
        <f t="shared" si="12"/>
        <v>0</v>
      </c>
      <c r="L83" s="1">
        <f t="shared" si="13"/>
        <v>0</v>
      </c>
      <c r="M83" s="1">
        <f t="shared" si="14"/>
        <v>1</v>
      </c>
      <c r="P83" t="str">
        <f>IF(OR(ISNUMBER(SEARCH("全马",A83)),ISNUMBER(SEARCH("42",A83)),ISNUMBER(SEARCH("破三",A83)),ISNUMBER(SEARCH("330",A83)),ISNUMBER(SEARCH("破四",A83)),ISNUMBER(SEARCH("430",A83))),"全马",
 IF(OR(ISNUMBER(SEARCH("半马",A83)),ISNUMBER(SEARCH("21",A83)),ISNUMBER(SEARCH("145",A83)),ISNUMBER(SEARCH("200",A83)),ISNUMBER(SEARCH("130",A83))),"半马",
 "未明确"))</f>
        <v>全马</v>
      </c>
    </row>
    <row r="84" spans="1:16" x14ac:dyDescent="0.2">
      <c r="A84" s="1" t="s">
        <v>245</v>
      </c>
      <c r="B84" s="2">
        <v>46088</v>
      </c>
      <c r="C84" s="1" t="s">
        <v>246</v>
      </c>
      <c r="D84" s="1">
        <v>289</v>
      </c>
      <c r="E84" s="1">
        <v>31</v>
      </c>
      <c r="F84" s="1">
        <v>17</v>
      </c>
      <c r="G84" s="1" t="s">
        <v>247</v>
      </c>
      <c r="H84" s="1" t="s">
        <v>248</v>
      </c>
      <c r="I84" s="1">
        <f t="shared" si="10"/>
        <v>1</v>
      </c>
      <c r="J84" s="1">
        <f t="shared" si="11"/>
        <v>0</v>
      </c>
      <c r="K84" s="1">
        <f t="shared" si="12"/>
        <v>0</v>
      </c>
      <c r="L84" s="1">
        <f t="shared" si="13"/>
        <v>0</v>
      </c>
      <c r="M84" s="1">
        <f t="shared" si="14"/>
        <v>1</v>
      </c>
      <c r="P84" t="str">
        <f>IF(OR(ISNUMBER(SEARCH("全马",A84)),ISNUMBER(SEARCH("42",A84)),ISNUMBER(SEARCH("破三",A84)),ISNUMBER(SEARCH("330",A84)),ISNUMBER(SEARCH("破四",A84)),ISNUMBER(SEARCH("430",A84))),"全马",
 IF(OR(ISNUMBER(SEARCH("半马",A84)),ISNUMBER(SEARCH("21",A84)),ISNUMBER(SEARCH("145",A84)),ISNUMBER(SEARCH("200",A84)),ISNUMBER(SEARCH("130",A84))),"半马",
 "未明确"))</f>
        <v>半马</v>
      </c>
    </row>
    <row r="85" spans="1:16" x14ac:dyDescent="0.2">
      <c r="A85" s="1" t="s">
        <v>249</v>
      </c>
      <c r="B85" s="2">
        <v>46091</v>
      </c>
      <c r="C85" s="1" t="s">
        <v>250</v>
      </c>
      <c r="D85" s="1">
        <v>267</v>
      </c>
      <c r="E85" s="1">
        <v>28</v>
      </c>
      <c r="F85" s="1">
        <v>14</v>
      </c>
      <c r="G85" s="1" t="s">
        <v>251</v>
      </c>
      <c r="H85" s="1" t="s">
        <v>252</v>
      </c>
      <c r="I85" s="1">
        <f t="shared" si="10"/>
        <v>0</v>
      </c>
      <c r="J85" s="1">
        <f t="shared" si="11"/>
        <v>1</v>
      </c>
      <c r="K85" s="1">
        <f t="shared" si="12"/>
        <v>0</v>
      </c>
      <c r="L85" s="1">
        <f t="shared" si="13"/>
        <v>0</v>
      </c>
      <c r="M85" s="1">
        <f t="shared" si="14"/>
        <v>1</v>
      </c>
      <c r="P85" t="str">
        <f>IF(OR(ISNUMBER(SEARCH("全马",A85)),ISNUMBER(SEARCH("42",A85)),ISNUMBER(SEARCH("破三",A85)),ISNUMBER(SEARCH("330",A85)),ISNUMBER(SEARCH("破四",A85)),ISNUMBER(SEARCH("430",A85))),"全马",
 IF(OR(ISNUMBER(SEARCH("半马",A85)),ISNUMBER(SEARCH("21",A85)),ISNUMBER(SEARCH("145",A85)),ISNUMBER(SEARCH("200",A85)),ISNUMBER(SEARCH("130",A85))),"半马",
 "未明确"))</f>
        <v>未明确</v>
      </c>
    </row>
    <row r="86" spans="1:16" x14ac:dyDescent="0.2">
      <c r="A86" s="1" t="s">
        <v>253</v>
      </c>
      <c r="B86" s="2">
        <v>46093</v>
      </c>
      <c r="C86" s="1" t="s">
        <v>254</v>
      </c>
      <c r="D86" s="1">
        <v>401</v>
      </c>
      <c r="E86" s="1">
        <v>87</v>
      </c>
      <c r="F86" s="1">
        <v>35</v>
      </c>
      <c r="G86" s="1" t="s">
        <v>255</v>
      </c>
      <c r="H86" s="1" t="s">
        <v>256</v>
      </c>
      <c r="I86" s="1">
        <f t="shared" si="10"/>
        <v>1</v>
      </c>
      <c r="J86" s="1">
        <f t="shared" si="11"/>
        <v>0</v>
      </c>
      <c r="K86" s="1">
        <f t="shared" si="12"/>
        <v>0</v>
      </c>
      <c r="L86" s="1">
        <f t="shared" si="13"/>
        <v>0</v>
      </c>
      <c r="M86" s="1">
        <f t="shared" si="14"/>
        <v>1</v>
      </c>
      <c r="P86" t="str">
        <f>IF(OR(ISNUMBER(SEARCH("全马",A86)),ISNUMBER(SEARCH("42",A86)),ISNUMBER(SEARCH("破三",A86)),ISNUMBER(SEARCH("330",A86)),ISNUMBER(SEARCH("破四",A86)),ISNUMBER(SEARCH("430",A86))),"全马",
 IF(OR(ISNUMBER(SEARCH("半马",A86)),ISNUMBER(SEARCH("21",A86)),ISNUMBER(SEARCH("145",A86)),ISNUMBER(SEARCH("200",A86)),ISNUMBER(SEARCH("130",A86))),"半马",
 "未明确"))</f>
        <v>半马</v>
      </c>
    </row>
    <row r="87" spans="1:16" x14ac:dyDescent="0.2">
      <c r="A87" s="1" t="s">
        <v>257</v>
      </c>
      <c r="B87" s="2">
        <v>46085</v>
      </c>
      <c r="C87" s="1" t="s">
        <v>258</v>
      </c>
      <c r="D87" s="1">
        <v>194</v>
      </c>
      <c r="E87" s="1">
        <v>44</v>
      </c>
      <c r="F87" s="1">
        <v>12</v>
      </c>
      <c r="G87" s="1" t="s">
        <v>259</v>
      </c>
      <c r="H87" s="1" t="s">
        <v>260</v>
      </c>
      <c r="I87" s="1">
        <f t="shared" si="10"/>
        <v>0</v>
      </c>
      <c r="J87" s="1">
        <f t="shared" si="11"/>
        <v>1</v>
      </c>
      <c r="K87" s="1">
        <f t="shared" si="12"/>
        <v>0</v>
      </c>
      <c r="L87" s="1">
        <f t="shared" si="13"/>
        <v>0</v>
      </c>
      <c r="M87" s="1">
        <f t="shared" si="14"/>
        <v>1</v>
      </c>
      <c r="P87" t="str">
        <f>IF(OR(ISNUMBER(SEARCH("全马",A87)),ISNUMBER(SEARCH("42",A87)),ISNUMBER(SEARCH("破三",A87)),ISNUMBER(SEARCH("330",A87)),ISNUMBER(SEARCH("破四",A87)),ISNUMBER(SEARCH("430",A87))),"全马",
 IF(OR(ISNUMBER(SEARCH("半马",A87)),ISNUMBER(SEARCH("21",A87)),ISNUMBER(SEARCH("145",A87)),ISNUMBER(SEARCH("200",A87)),ISNUMBER(SEARCH("130",A87))),"半马",
 "未明确"))</f>
        <v>未明确</v>
      </c>
    </row>
    <row r="88" spans="1:16" x14ac:dyDescent="0.2">
      <c r="A88" s="1" t="s">
        <v>261</v>
      </c>
      <c r="B88" s="2">
        <v>46090</v>
      </c>
      <c r="C88" s="1" t="s">
        <v>262</v>
      </c>
      <c r="D88" s="1">
        <v>209</v>
      </c>
      <c r="E88" s="1">
        <v>22</v>
      </c>
      <c r="F88" s="1">
        <v>13</v>
      </c>
      <c r="G88" s="1" t="s">
        <v>263</v>
      </c>
      <c r="H88" s="1" t="s">
        <v>264</v>
      </c>
      <c r="I88" s="1">
        <f t="shared" si="10"/>
        <v>1</v>
      </c>
      <c r="J88" s="1">
        <f t="shared" si="11"/>
        <v>0</v>
      </c>
      <c r="K88" s="1">
        <f t="shared" si="12"/>
        <v>0</v>
      </c>
      <c r="L88" s="1">
        <f t="shared" si="13"/>
        <v>0</v>
      </c>
      <c r="M88" s="1">
        <f t="shared" si="14"/>
        <v>1</v>
      </c>
      <c r="P88" t="str">
        <f>IF(OR(ISNUMBER(SEARCH("全马",A88)),ISNUMBER(SEARCH("42",A88)),ISNUMBER(SEARCH("破三",A88)),ISNUMBER(SEARCH("330",A88)),ISNUMBER(SEARCH("破四",A88)),ISNUMBER(SEARCH("430",A88))),"全马",
 IF(OR(ISNUMBER(SEARCH("半马",A88)),ISNUMBER(SEARCH("21",A88)),ISNUMBER(SEARCH("145",A88)),ISNUMBER(SEARCH("200",A88)),ISNUMBER(SEARCH("130",A88))),"半马",
 "未明确"))</f>
        <v>未明确</v>
      </c>
    </row>
    <row r="89" spans="1:16" x14ac:dyDescent="0.2">
      <c r="A89" s="1" t="s">
        <v>269</v>
      </c>
      <c r="B89" s="2">
        <v>46089</v>
      </c>
      <c r="C89" s="1" t="s">
        <v>270</v>
      </c>
      <c r="D89" s="1">
        <v>334</v>
      </c>
      <c r="E89" s="1">
        <v>30</v>
      </c>
      <c r="F89" s="1">
        <v>18</v>
      </c>
      <c r="G89" s="1" t="s">
        <v>271</v>
      </c>
      <c r="H89" s="1" t="s">
        <v>272</v>
      </c>
      <c r="I89" s="1">
        <f t="shared" si="10"/>
        <v>0</v>
      </c>
      <c r="J89" s="1">
        <f t="shared" si="11"/>
        <v>1</v>
      </c>
      <c r="K89" s="1">
        <f t="shared" si="12"/>
        <v>0</v>
      </c>
      <c r="L89" s="1">
        <f t="shared" si="13"/>
        <v>0</v>
      </c>
      <c r="M89" s="1">
        <f t="shared" si="14"/>
        <v>1</v>
      </c>
      <c r="P89" t="str">
        <f>IF(OR(ISNUMBER(SEARCH("全马",A89)),ISNUMBER(SEARCH("42",A89)),ISNUMBER(SEARCH("破三",A89)),ISNUMBER(SEARCH("330",A89)),ISNUMBER(SEARCH("破四",A89)),ISNUMBER(SEARCH("430",A89))),"全马",
 IF(OR(ISNUMBER(SEARCH("半马",A89)),ISNUMBER(SEARCH("21",A89)),ISNUMBER(SEARCH("145",A89)),ISNUMBER(SEARCH("200",A89)),ISNUMBER(SEARCH("130",A89))),"半马",
 "未明确"))</f>
        <v>未明确</v>
      </c>
    </row>
    <row r="90" spans="1:16" x14ac:dyDescent="0.2">
      <c r="A90" s="1" t="s">
        <v>273</v>
      </c>
      <c r="B90" s="2">
        <v>46087</v>
      </c>
      <c r="C90" s="1" t="s">
        <v>274</v>
      </c>
      <c r="D90" s="1">
        <v>226</v>
      </c>
      <c r="E90" s="1">
        <v>27</v>
      </c>
      <c r="F90" s="1">
        <v>12</v>
      </c>
      <c r="G90" s="1" t="s">
        <v>275</v>
      </c>
      <c r="H90" s="1" t="s">
        <v>276</v>
      </c>
      <c r="I90" s="1">
        <f t="shared" si="10"/>
        <v>1</v>
      </c>
      <c r="J90" s="1">
        <f t="shared" si="11"/>
        <v>0</v>
      </c>
      <c r="K90" s="1">
        <f t="shared" si="12"/>
        <v>0</v>
      </c>
      <c r="L90" s="1">
        <f t="shared" si="13"/>
        <v>0</v>
      </c>
      <c r="M90" s="1">
        <f t="shared" si="14"/>
        <v>1</v>
      </c>
      <c r="P90" t="str">
        <f>IF(OR(ISNUMBER(SEARCH("全马",A90)),ISNUMBER(SEARCH("42",A90)),ISNUMBER(SEARCH("破三",A90)),ISNUMBER(SEARCH("330",A90)),ISNUMBER(SEARCH("破四",A90)),ISNUMBER(SEARCH("430",A90))),"全马",
 IF(OR(ISNUMBER(SEARCH("半马",A90)),ISNUMBER(SEARCH("21",A90)),ISNUMBER(SEARCH("145",A90)),ISNUMBER(SEARCH("200",A90)),ISNUMBER(SEARCH("130",A90))),"半马",
 "未明确"))</f>
        <v>未明确</v>
      </c>
    </row>
    <row r="91" spans="1:16" x14ac:dyDescent="0.2">
      <c r="A91" s="1" t="s">
        <v>277</v>
      </c>
      <c r="B91" s="2">
        <v>46091</v>
      </c>
      <c r="C91" s="1" t="s">
        <v>278</v>
      </c>
      <c r="D91" s="1">
        <v>347</v>
      </c>
      <c r="E91" s="1">
        <v>39</v>
      </c>
      <c r="F91" s="1">
        <v>22</v>
      </c>
      <c r="G91" s="1" t="s">
        <v>279</v>
      </c>
      <c r="H91" s="1" t="s">
        <v>280</v>
      </c>
      <c r="I91" s="1">
        <f t="shared" si="10"/>
        <v>0</v>
      </c>
      <c r="J91" s="1">
        <f t="shared" si="11"/>
        <v>1</v>
      </c>
      <c r="K91" s="1">
        <f t="shared" si="12"/>
        <v>0</v>
      </c>
      <c r="L91" s="1">
        <f t="shared" si="13"/>
        <v>0</v>
      </c>
      <c r="M91" s="1">
        <f t="shared" si="14"/>
        <v>1</v>
      </c>
      <c r="P91" t="str">
        <f>IF(OR(ISNUMBER(SEARCH("全马",A91)),ISNUMBER(SEARCH("42",A91)),ISNUMBER(SEARCH("破三",A91)),ISNUMBER(SEARCH("330",A91)),ISNUMBER(SEARCH("破四",A91)),ISNUMBER(SEARCH("430",A91))),"全马",
 IF(OR(ISNUMBER(SEARCH("半马",A91)),ISNUMBER(SEARCH("21",A91)),ISNUMBER(SEARCH("145",A91)),ISNUMBER(SEARCH("200",A91)),ISNUMBER(SEARCH("130",A91))),"半马",
 "未明确"))</f>
        <v>未明确</v>
      </c>
    </row>
    <row r="92" spans="1:16" x14ac:dyDescent="0.2">
      <c r="A92" s="1" t="s">
        <v>289</v>
      </c>
      <c r="B92" s="2">
        <v>46086</v>
      </c>
      <c r="C92" s="1" t="s">
        <v>290</v>
      </c>
      <c r="D92" s="1">
        <v>256</v>
      </c>
      <c r="E92" s="1">
        <v>24</v>
      </c>
      <c r="F92" s="1">
        <v>15</v>
      </c>
      <c r="G92" s="1" t="s">
        <v>291</v>
      </c>
      <c r="H92" s="1" t="s">
        <v>292</v>
      </c>
      <c r="I92" s="1">
        <f t="shared" si="10"/>
        <v>0</v>
      </c>
      <c r="J92" s="1">
        <f t="shared" si="11"/>
        <v>1</v>
      </c>
      <c r="K92" s="1">
        <f t="shared" si="12"/>
        <v>0</v>
      </c>
      <c r="L92" s="1">
        <f t="shared" si="13"/>
        <v>0</v>
      </c>
      <c r="M92" s="1">
        <f t="shared" si="14"/>
        <v>1</v>
      </c>
      <c r="P92" t="str">
        <f>IF(OR(ISNUMBER(SEARCH("全马",A92)),ISNUMBER(SEARCH("42",A92)),ISNUMBER(SEARCH("破三",A92)),ISNUMBER(SEARCH("330",A92)),ISNUMBER(SEARCH("破四",A92)),ISNUMBER(SEARCH("430",A92))),"全马",
 IF(OR(ISNUMBER(SEARCH("半马",A92)),ISNUMBER(SEARCH("21",A92)),ISNUMBER(SEARCH("145",A92)),ISNUMBER(SEARCH("200",A92)),ISNUMBER(SEARCH("130",A92))),"半马",
 "未明确"))</f>
        <v>未明确</v>
      </c>
    </row>
    <row r="93" spans="1:16" x14ac:dyDescent="0.2">
      <c r="A93" s="1" t="s">
        <v>293</v>
      </c>
      <c r="B93" s="2">
        <v>46092</v>
      </c>
      <c r="C93" s="1" t="s">
        <v>294</v>
      </c>
      <c r="D93" s="1">
        <v>459</v>
      </c>
      <c r="E93" s="1">
        <v>48</v>
      </c>
      <c r="F93" s="1">
        <v>33</v>
      </c>
      <c r="G93" s="1" t="s">
        <v>295</v>
      </c>
      <c r="H93" s="1" t="s">
        <v>296</v>
      </c>
      <c r="I93" s="1">
        <f t="shared" si="10"/>
        <v>1</v>
      </c>
      <c r="J93" s="1">
        <f t="shared" si="11"/>
        <v>0</v>
      </c>
      <c r="K93" s="1">
        <f t="shared" si="12"/>
        <v>0</v>
      </c>
      <c r="L93" s="1">
        <f t="shared" si="13"/>
        <v>0</v>
      </c>
      <c r="M93" s="1">
        <f t="shared" si="14"/>
        <v>1</v>
      </c>
      <c r="P93" t="str">
        <f>IF(OR(ISNUMBER(SEARCH("全马",A93)),ISNUMBER(SEARCH("42",A93)),ISNUMBER(SEARCH("破三",A93)),ISNUMBER(SEARCH("330",A93)),ISNUMBER(SEARCH("破四",A93)),ISNUMBER(SEARCH("430",A93))),"全马",
 IF(OR(ISNUMBER(SEARCH("半马",A93)),ISNUMBER(SEARCH("21",A93)),ISNUMBER(SEARCH("145",A93)),ISNUMBER(SEARCH("200",A93)),ISNUMBER(SEARCH("130",A93))),"半马",
 "未明确"))</f>
        <v>半马</v>
      </c>
    </row>
    <row r="94" spans="1:16" x14ac:dyDescent="0.2">
      <c r="A94" s="1" t="s">
        <v>297</v>
      </c>
      <c r="B94" s="2">
        <v>46090</v>
      </c>
      <c r="C94" s="1" t="s">
        <v>298</v>
      </c>
      <c r="D94" s="1">
        <v>301</v>
      </c>
      <c r="E94" s="1">
        <v>27</v>
      </c>
      <c r="F94" s="1">
        <v>16</v>
      </c>
      <c r="G94" s="1" t="s">
        <v>299</v>
      </c>
      <c r="H94" s="1" t="s">
        <v>300</v>
      </c>
      <c r="I94" s="1">
        <f t="shared" si="10"/>
        <v>0</v>
      </c>
      <c r="J94" s="1">
        <f t="shared" si="11"/>
        <v>1</v>
      </c>
      <c r="K94" s="1">
        <f t="shared" si="12"/>
        <v>0</v>
      </c>
      <c r="L94" s="1">
        <f t="shared" si="13"/>
        <v>0</v>
      </c>
      <c r="M94" s="1">
        <f t="shared" si="14"/>
        <v>1</v>
      </c>
      <c r="P94" t="str">
        <f>IF(OR(ISNUMBER(SEARCH("全马",A94)),ISNUMBER(SEARCH("42",A94)),ISNUMBER(SEARCH("破三",A94)),ISNUMBER(SEARCH("330",A94)),ISNUMBER(SEARCH("破四",A94)),ISNUMBER(SEARCH("430",A94))),"全马",
 IF(OR(ISNUMBER(SEARCH("半马",A94)),ISNUMBER(SEARCH("21",A94)),ISNUMBER(SEARCH("145",A94)),ISNUMBER(SEARCH("200",A94)),ISNUMBER(SEARCH("130",A94))),"半马",
 "未明确"))</f>
        <v>未明确</v>
      </c>
    </row>
    <row r="95" spans="1:16" x14ac:dyDescent="0.2">
      <c r="A95" s="1" t="s">
        <v>307</v>
      </c>
      <c r="B95" s="2">
        <v>46089</v>
      </c>
      <c r="C95" s="1" t="s">
        <v>26</v>
      </c>
      <c r="D95" s="1">
        <v>612</v>
      </c>
      <c r="E95" s="1">
        <v>58</v>
      </c>
      <c r="F95" s="1">
        <v>42</v>
      </c>
      <c r="G95" s="1" t="s">
        <v>308</v>
      </c>
      <c r="H95" s="1" t="s">
        <v>309</v>
      </c>
      <c r="I95" s="1">
        <f t="shared" si="10"/>
        <v>0</v>
      </c>
      <c r="J95" s="1">
        <f t="shared" si="11"/>
        <v>1</v>
      </c>
      <c r="K95" s="1">
        <f t="shared" si="12"/>
        <v>0</v>
      </c>
      <c r="L95" s="1">
        <f t="shared" si="13"/>
        <v>0</v>
      </c>
      <c r="M95" s="1">
        <f t="shared" si="14"/>
        <v>1</v>
      </c>
      <c r="P95" t="str">
        <f>IF(OR(ISNUMBER(SEARCH("全马",A95)),ISNUMBER(SEARCH("42",A95)),ISNUMBER(SEARCH("破三",A95)),ISNUMBER(SEARCH("330",A95)),ISNUMBER(SEARCH("破四",A95)),ISNUMBER(SEARCH("430",A95))),"全马",
 IF(OR(ISNUMBER(SEARCH("半马",A95)),ISNUMBER(SEARCH("21",A95)),ISNUMBER(SEARCH("145",A95)),ISNUMBER(SEARCH("200",A95)),ISNUMBER(SEARCH("130",A95))),"半马",
 "未明确"))</f>
        <v>未明确</v>
      </c>
    </row>
    <row r="96" spans="1:16" x14ac:dyDescent="0.2">
      <c r="A96" s="1" t="s">
        <v>319</v>
      </c>
      <c r="B96" s="2">
        <v>46090</v>
      </c>
      <c r="C96" s="1" t="s">
        <v>38</v>
      </c>
      <c r="D96" s="1">
        <v>344</v>
      </c>
      <c r="E96" s="1">
        <v>31</v>
      </c>
      <c r="F96" s="1">
        <v>20</v>
      </c>
      <c r="G96" s="1" t="s">
        <v>320</v>
      </c>
      <c r="H96" s="1" t="s">
        <v>321</v>
      </c>
      <c r="I96" s="1">
        <f t="shared" si="10"/>
        <v>0</v>
      </c>
      <c r="J96" s="1">
        <f t="shared" si="11"/>
        <v>1</v>
      </c>
      <c r="K96" s="1">
        <f t="shared" si="12"/>
        <v>0</v>
      </c>
      <c r="L96" s="1">
        <f t="shared" si="13"/>
        <v>0</v>
      </c>
      <c r="M96" s="1">
        <f t="shared" si="14"/>
        <v>1</v>
      </c>
      <c r="P96" t="str">
        <f>IF(OR(ISNUMBER(SEARCH("全马",A96)),ISNUMBER(SEARCH("42",A96)),ISNUMBER(SEARCH("破三",A96)),ISNUMBER(SEARCH("330",A96)),ISNUMBER(SEARCH("破四",A96)),ISNUMBER(SEARCH("430",A96))),"全马",
 IF(OR(ISNUMBER(SEARCH("半马",A96)),ISNUMBER(SEARCH("21",A96)),ISNUMBER(SEARCH("145",A96)),ISNUMBER(SEARCH("200",A96)),ISNUMBER(SEARCH("130",A96))),"半马",
 "未明确"))</f>
        <v>未明确</v>
      </c>
    </row>
    <row r="97" spans="1:16" x14ac:dyDescent="0.2">
      <c r="A97" s="1" t="s">
        <v>322</v>
      </c>
      <c r="B97" s="2">
        <v>46094</v>
      </c>
      <c r="C97" s="1" t="s">
        <v>50</v>
      </c>
      <c r="D97" s="1">
        <v>476</v>
      </c>
      <c r="E97" s="1">
        <v>52</v>
      </c>
      <c r="F97" s="1">
        <v>34</v>
      </c>
      <c r="G97" s="1" t="s">
        <v>323</v>
      </c>
      <c r="H97" s="1" t="s">
        <v>324</v>
      </c>
      <c r="I97" s="1">
        <f t="shared" si="10"/>
        <v>0</v>
      </c>
      <c r="J97" s="1">
        <f t="shared" si="11"/>
        <v>1</v>
      </c>
      <c r="K97" s="1">
        <f t="shared" si="12"/>
        <v>0</v>
      </c>
      <c r="L97" s="1">
        <f t="shared" si="13"/>
        <v>0</v>
      </c>
      <c r="M97" s="1">
        <f t="shared" si="14"/>
        <v>1</v>
      </c>
      <c r="P97" t="str">
        <f>IF(OR(ISNUMBER(SEARCH("全马",A97)),ISNUMBER(SEARCH("42",A97)),ISNUMBER(SEARCH("破三",A97)),ISNUMBER(SEARCH("330",A97)),ISNUMBER(SEARCH("破四",A97)),ISNUMBER(SEARCH("430",A97))),"全马",
 IF(OR(ISNUMBER(SEARCH("半马",A97)),ISNUMBER(SEARCH("21",A97)),ISNUMBER(SEARCH("145",A97)),ISNUMBER(SEARCH("200",A97)),ISNUMBER(SEARCH("130",A97))),"半马",
 "未明确"))</f>
        <v>全马</v>
      </c>
    </row>
    <row r="98" spans="1:16" x14ac:dyDescent="0.2">
      <c r="A98" s="1" t="s">
        <v>325</v>
      </c>
      <c r="B98" s="2">
        <v>46086</v>
      </c>
      <c r="C98" s="1" t="s">
        <v>46</v>
      </c>
      <c r="D98" s="1">
        <v>398</v>
      </c>
      <c r="E98" s="1">
        <v>29</v>
      </c>
      <c r="F98" s="1">
        <v>21</v>
      </c>
      <c r="G98" s="1" t="s">
        <v>326</v>
      </c>
      <c r="H98" s="1" t="s">
        <v>327</v>
      </c>
      <c r="I98" s="1">
        <f t="shared" ref="I98:I129" si="15">--ISNUMBER(SEARCH("间歇",$A98))</f>
        <v>1</v>
      </c>
      <c r="J98" s="1">
        <f t="shared" ref="J98:J129" si="16">--ISNUMBER(SEARCH("LSD",$A98))</f>
        <v>0</v>
      </c>
      <c r="K98" s="1">
        <f t="shared" ref="K98:K129" si="17">--OR(ISNUMBER(SEARCH("节奏",$A98)),ISNUMBER(SEARCH("阈",$A98)))</f>
        <v>0</v>
      </c>
      <c r="L98" s="1">
        <f t="shared" ref="L98:L129" si="18">--ISNUMBER(SEARCH("力量",$A98))</f>
        <v>0</v>
      </c>
      <c r="M98" s="1">
        <f t="shared" ref="M98:M129" si="19">I98+J98+K98+L98</f>
        <v>1</v>
      </c>
      <c r="P98" t="str">
        <f>IF(OR(ISNUMBER(SEARCH("全马",A98)),ISNUMBER(SEARCH("42",A98)),ISNUMBER(SEARCH("破三",A98)),ISNUMBER(SEARCH("330",A98)),ISNUMBER(SEARCH("破四",A98)),ISNUMBER(SEARCH("430",A98))),"全马",
 IF(OR(ISNUMBER(SEARCH("半马",A98)),ISNUMBER(SEARCH("21",A98)),ISNUMBER(SEARCH("145",A98)),ISNUMBER(SEARCH("200",A98)),ISNUMBER(SEARCH("130",A98))),"半马",
 "未明确"))</f>
        <v>未明确</v>
      </c>
    </row>
    <row r="99" spans="1:16" x14ac:dyDescent="0.2">
      <c r="A99" s="1" t="s">
        <v>328</v>
      </c>
      <c r="B99" s="2">
        <v>46091</v>
      </c>
      <c r="C99" s="1" t="s">
        <v>54</v>
      </c>
      <c r="D99" s="1">
        <v>412</v>
      </c>
      <c r="E99" s="1">
        <v>44</v>
      </c>
      <c r="F99" s="1">
        <v>27</v>
      </c>
      <c r="G99" s="1" t="s">
        <v>329</v>
      </c>
      <c r="H99" s="1" t="s">
        <v>330</v>
      </c>
      <c r="I99" s="1">
        <f t="shared" si="15"/>
        <v>0</v>
      </c>
      <c r="J99" s="1">
        <f t="shared" si="16"/>
        <v>1</v>
      </c>
      <c r="K99" s="1">
        <f t="shared" si="17"/>
        <v>0</v>
      </c>
      <c r="L99" s="1">
        <f t="shared" si="18"/>
        <v>0</v>
      </c>
      <c r="M99" s="1">
        <f t="shared" si="19"/>
        <v>1</v>
      </c>
      <c r="P99" t="str">
        <f>IF(OR(ISNUMBER(SEARCH("全马",A99)),ISNUMBER(SEARCH("42",A99)),ISNUMBER(SEARCH("破三",A99)),ISNUMBER(SEARCH("330",A99)),ISNUMBER(SEARCH("破四",A99)),ISNUMBER(SEARCH("430",A99))),"全马",
 IF(OR(ISNUMBER(SEARCH("半马",A99)),ISNUMBER(SEARCH("21",A99)),ISNUMBER(SEARCH("145",A99)),ISNUMBER(SEARCH("200",A99)),ISNUMBER(SEARCH("130",A99))),"半马",
 "未明确"))</f>
        <v>未明确</v>
      </c>
    </row>
    <row r="100" spans="1:16" x14ac:dyDescent="0.2">
      <c r="A100" s="1" t="s">
        <v>331</v>
      </c>
      <c r="B100" s="2">
        <v>46089</v>
      </c>
      <c r="C100" s="1" t="s">
        <v>58</v>
      </c>
      <c r="D100" s="1">
        <v>289</v>
      </c>
      <c r="E100" s="1">
        <v>35</v>
      </c>
      <c r="F100" s="1">
        <v>18</v>
      </c>
      <c r="G100" s="1" t="s">
        <v>332</v>
      </c>
      <c r="H100" s="1" t="s">
        <v>333</v>
      </c>
      <c r="I100" s="1">
        <f t="shared" si="15"/>
        <v>1</v>
      </c>
      <c r="J100" s="1">
        <f t="shared" si="16"/>
        <v>0</v>
      </c>
      <c r="K100" s="1">
        <f t="shared" si="17"/>
        <v>0</v>
      </c>
      <c r="L100" s="1">
        <f t="shared" si="18"/>
        <v>0</v>
      </c>
      <c r="M100" s="1">
        <f t="shared" si="19"/>
        <v>1</v>
      </c>
      <c r="P100" t="str">
        <f>IF(OR(ISNUMBER(SEARCH("全马",A100)),ISNUMBER(SEARCH("42",A100)),ISNUMBER(SEARCH("破三",A100)),ISNUMBER(SEARCH("330",A100)),ISNUMBER(SEARCH("破四",A100)),ISNUMBER(SEARCH("430",A100))),"全马",
 IF(OR(ISNUMBER(SEARCH("半马",A100)),ISNUMBER(SEARCH("21",A100)),ISNUMBER(SEARCH("145",A100)),ISNUMBER(SEARCH("200",A100)),ISNUMBER(SEARCH("130",A100))),"半马",
 "未明确"))</f>
        <v>未明确</v>
      </c>
    </row>
    <row r="101" spans="1:16" x14ac:dyDescent="0.2">
      <c r="A101" s="1" t="s">
        <v>334</v>
      </c>
      <c r="B101" s="2">
        <v>46093</v>
      </c>
      <c r="C101" s="1" t="s">
        <v>62</v>
      </c>
      <c r="D101" s="1">
        <v>623</v>
      </c>
      <c r="E101" s="1">
        <v>71</v>
      </c>
      <c r="F101" s="1">
        <v>53</v>
      </c>
      <c r="G101" s="1" t="s">
        <v>335</v>
      </c>
      <c r="H101" s="1" t="s">
        <v>336</v>
      </c>
      <c r="I101" s="1">
        <f t="shared" si="15"/>
        <v>1</v>
      </c>
      <c r="J101" s="1">
        <f t="shared" si="16"/>
        <v>0</v>
      </c>
      <c r="K101" s="1">
        <f t="shared" si="17"/>
        <v>0</v>
      </c>
      <c r="L101" s="1">
        <f t="shared" si="18"/>
        <v>0</v>
      </c>
      <c r="M101" s="1">
        <f t="shared" si="19"/>
        <v>1</v>
      </c>
      <c r="P101" t="str">
        <f>IF(OR(ISNUMBER(SEARCH("全马",A101)),ISNUMBER(SEARCH("42",A101)),ISNUMBER(SEARCH("破三",A101)),ISNUMBER(SEARCH("330",A101)),ISNUMBER(SEARCH("破四",A101)),ISNUMBER(SEARCH("430",A101))),"全马",
 IF(OR(ISNUMBER(SEARCH("半马",A101)),ISNUMBER(SEARCH("21",A101)),ISNUMBER(SEARCH("145",A101)),ISNUMBER(SEARCH("200",A101)),ISNUMBER(SEARCH("130",A101))),"半马",
 "未明确"))</f>
        <v>半马</v>
      </c>
    </row>
    <row r="102" spans="1:16" x14ac:dyDescent="0.2">
      <c r="A102" s="1" t="s">
        <v>337</v>
      </c>
      <c r="B102" s="2">
        <v>46087</v>
      </c>
      <c r="C102" s="1" t="s">
        <v>66</v>
      </c>
      <c r="D102" s="1">
        <v>267</v>
      </c>
      <c r="E102" s="1">
        <v>58</v>
      </c>
      <c r="F102" s="1">
        <v>19</v>
      </c>
      <c r="G102" s="1" t="s">
        <v>338</v>
      </c>
      <c r="H102" s="1" t="s">
        <v>339</v>
      </c>
      <c r="I102" s="1">
        <f t="shared" si="15"/>
        <v>0</v>
      </c>
      <c r="J102" s="1">
        <f t="shared" si="16"/>
        <v>1</v>
      </c>
      <c r="K102" s="1">
        <f t="shared" si="17"/>
        <v>0</v>
      </c>
      <c r="L102" s="1">
        <f t="shared" si="18"/>
        <v>0</v>
      </c>
      <c r="M102" s="1">
        <f t="shared" si="19"/>
        <v>1</v>
      </c>
      <c r="P102" t="str">
        <f>IF(OR(ISNUMBER(SEARCH("全马",A102)),ISNUMBER(SEARCH("42",A102)),ISNUMBER(SEARCH("破三",A102)),ISNUMBER(SEARCH("330",A102)),ISNUMBER(SEARCH("破四",A102)),ISNUMBER(SEARCH("430",A102))),"全马",
 IF(OR(ISNUMBER(SEARCH("半马",A102)),ISNUMBER(SEARCH("21",A102)),ISNUMBER(SEARCH("145",A102)),ISNUMBER(SEARCH("200",A102)),ISNUMBER(SEARCH("130",A102))),"半马",
 "未明确"))</f>
        <v>未明确</v>
      </c>
    </row>
    <row r="103" spans="1:16" x14ac:dyDescent="0.2">
      <c r="A103" s="1" t="s">
        <v>343</v>
      </c>
      <c r="B103" s="2">
        <v>46085</v>
      </c>
      <c r="C103" s="1" t="s">
        <v>82</v>
      </c>
      <c r="D103" s="1">
        <v>334</v>
      </c>
      <c r="E103" s="1">
        <v>62</v>
      </c>
      <c r="F103" s="1">
        <v>24</v>
      </c>
      <c r="G103" s="1" t="s">
        <v>344</v>
      </c>
      <c r="H103" s="1" t="s">
        <v>345</v>
      </c>
      <c r="I103" s="1">
        <f t="shared" si="15"/>
        <v>1</v>
      </c>
      <c r="J103" s="1">
        <f t="shared" si="16"/>
        <v>0</v>
      </c>
      <c r="K103" s="1">
        <f t="shared" si="17"/>
        <v>0</v>
      </c>
      <c r="L103" s="1">
        <f t="shared" si="18"/>
        <v>0</v>
      </c>
      <c r="M103" s="1">
        <f t="shared" si="19"/>
        <v>1</v>
      </c>
      <c r="P103" t="str">
        <f>IF(OR(ISNUMBER(SEARCH("全马",A103)),ISNUMBER(SEARCH("42",A103)),ISNUMBER(SEARCH("破三",A103)),ISNUMBER(SEARCH("330",A103)),ISNUMBER(SEARCH("破四",A103)),ISNUMBER(SEARCH("430",A103))),"全马",
 IF(OR(ISNUMBER(SEARCH("半马",A103)),ISNUMBER(SEARCH("21",A103)),ISNUMBER(SEARCH("145",A103)),ISNUMBER(SEARCH("200",A103)),ISNUMBER(SEARCH("130",A103))),"半马",
 "未明确"))</f>
        <v>未明确</v>
      </c>
    </row>
    <row r="104" spans="1:16" x14ac:dyDescent="0.2">
      <c r="A104" s="1" t="s">
        <v>346</v>
      </c>
      <c r="B104" s="2">
        <v>46090</v>
      </c>
      <c r="C104" s="1" t="s">
        <v>86</v>
      </c>
      <c r="D104" s="1">
        <v>451</v>
      </c>
      <c r="E104" s="1">
        <v>38</v>
      </c>
      <c r="F104" s="1">
        <v>29</v>
      </c>
      <c r="G104" s="1" t="s">
        <v>347</v>
      </c>
      <c r="H104" s="1" t="s">
        <v>348</v>
      </c>
      <c r="I104" s="1">
        <f t="shared" si="15"/>
        <v>0</v>
      </c>
      <c r="J104" s="1">
        <f t="shared" si="16"/>
        <v>1</v>
      </c>
      <c r="K104" s="1">
        <f t="shared" si="17"/>
        <v>0</v>
      </c>
      <c r="L104" s="1">
        <f t="shared" si="18"/>
        <v>0</v>
      </c>
      <c r="M104" s="1">
        <f t="shared" si="19"/>
        <v>1</v>
      </c>
      <c r="P104" t="str">
        <f>IF(OR(ISNUMBER(SEARCH("全马",A104)),ISNUMBER(SEARCH("42",A104)),ISNUMBER(SEARCH("破三",A104)),ISNUMBER(SEARCH("330",A104)),ISNUMBER(SEARCH("破四",A104)),ISNUMBER(SEARCH("430",A104))),"全马",
 IF(OR(ISNUMBER(SEARCH("半马",A104)),ISNUMBER(SEARCH("21",A104)),ISNUMBER(SEARCH("145",A104)),ISNUMBER(SEARCH("200",A104)),ISNUMBER(SEARCH("130",A104))),"半马",
 "未明确"))</f>
        <v>未明确</v>
      </c>
    </row>
    <row r="105" spans="1:16" x14ac:dyDescent="0.2">
      <c r="A105" s="1" t="s">
        <v>349</v>
      </c>
      <c r="B105" s="2">
        <v>46088</v>
      </c>
      <c r="C105" s="1" t="s">
        <v>74</v>
      </c>
      <c r="D105" s="1">
        <v>278</v>
      </c>
      <c r="E105" s="1">
        <v>26</v>
      </c>
      <c r="F105" s="1">
        <v>16</v>
      </c>
      <c r="G105" s="1" t="s">
        <v>350</v>
      </c>
      <c r="H105" s="1" t="s">
        <v>351</v>
      </c>
      <c r="I105" s="1">
        <f t="shared" si="15"/>
        <v>1</v>
      </c>
      <c r="J105" s="1">
        <f t="shared" si="16"/>
        <v>0</v>
      </c>
      <c r="K105" s="1">
        <f t="shared" si="17"/>
        <v>0</v>
      </c>
      <c r="L105" s="1">
        <f t="shared" si="18"/>
        <v>0</v>
      </c>
      <c r="M105" s="1">
        <f t="shared" si="19"/>
        <v>1</v>
      </c>
      <c r="P105" t="str">
        <f>IF(OR(ISNUMBER(SEARCH("全马",A105)),ISNUMBER(SEARCH("42",A105)),ISNUMBER(SEARCH("破三",A105)),ISNUMBER(SEARCH("330",A105)),ISNUMBER(SEARCH("破四",A105)),ISNUMBER(SEARCH("430",A105))),"全马",
 IF(OR(ISNUMBER(SEARCH("半马",A105)),ISNUMBER(SEARCH("21",A105)),ISNUMBER(SEARCH("145",A105)),ISNUMBER(SEARCH("200",A105)),ISNUMBER(SEARCH("130",A105))),"半马",
 "未明确"))</f>
        <v>未明确</v>
      </c>
    </row>
    <row r="106" spans="1:16" x14ac:dyDescent="0.2">
      <c r="A106" s="1" t="s">
        <v>355</v>
      </c>
      <c r="B106" s="2">
        <v>46091</v>
      </c>
      <c r="C106" s="1" t="s">
        <v>94</v>
      </c>
      <c r="D106" s="1">
        <v>312</v>
      </c>
      <c r="E106" s="1">
        <v>29</v>
      </c>
      <c r="F106" s="1">
        <v>18</v>
      </c>
      <c r="G106" s="1" t="s">
        <v>356</v>
      </c>
      <c r="H106" s="1" t="s">
        <v>357</v>
      </c>
      <c r="I106" s="1">
        <f t="shared" si="15"/>
        <v>1</v>
      </c>
      <c r="J106" s="1">
        <f t="shared" si="16"/>
        <v>0</v>
      </c>
      <c r="K106" s="1">
        <f t="shared" si="17"/>
        <v>0</v>
      </c>
      <c r="L106" s="1">
        <f t="shared" si="18"/>
        <v>0</v>
      </c>
      <c r="M106" s="1">
        <f t="shared" si="19"/>
        <v>1</v>
      </c>
      <c r="P106" t="str">
        <f>IF(OR(ISNUMBER(SEARCH("全马",A106)),ISNUMBER(SEARCH("42",A106)),ISNUMBER(SEARCH("破三",A106)),ISNUMBER(SEARCH("330",A106)),ISNUMBER(SEARCH("破四",A106)),ISNUMBER(SEARCH("430",A106))),"全马",
 IF(OR(ISNUMBER(SEARCH("半马",A106)),ISNUMBER(SEARCH("21",A106)),ISNUMBER(SEARCH("145",A106)),ISNUMBER(SEARCH("200",A106)),ISNUMBER(SEARCH("130",A106))),"半马",
 "未明确"))</f>
        <v>未明确</v>
      </c>
    </row>
    <row r="107" spans="1:16" x14ac:dyDescent="0.2">
      <c r="A107" s="1" t="s">
        <v>367</v>
      </c>
      <c r="B107" s="2">
        <v>46092</v>
      </c>
      <c r="C107" s="1" t="s">
        <v>110</v>
      </c>
      <c r="D107" s="1">
        <v>301</v>
      </c>
      <c r="E107" s="1">
        <v>27</v>
      </c>
      <c r="F107" s="1">
        <v>17</v>
      </c>
      <c r="G107" s="1" t="s">
        <v>368</v>
      </c>
      <c r="H107" s="1" t="s">
        <v>369</v>
      </c>
      <c r="I107" s="1">
        <f t="shared" si="15"/>
        <v>1</v>
      </c>
      <c r="J107" s="1">
        <f t="shared" si="16"/>
        <v>0</v>
      </c>
      <c r="K107" s="1">
        <f t="shared" si="17"/>
        <v>0</v>
      </c>
      <c r="L107" s="1">
        <f t="shared" si="18"/>
        <v>0</v>
      </c>
      <c r="M107" s="1">
        <f t="shared" si="19"/>
        <v>1</v>
      </c>
      <c r="P107" t="str">
        <f>IF(OR(ISNUMBER(SEARCH("全马",A107)),ISNUMBER(SEARCH("42",A107)),ISNUMBER(SEARCH("破三",A107)),ISNUMBER(SEARCH("330",A107)),ISNUMBER(SEARCH("破四",A107)),ISNUMBER(SEARCH("430",A107))),"全马",
 IF(OR(ISNUMBER(SEARCH("半马",A107)),ISNUMBER(SEARCH("21",A107)),ISNUMBER(SEARCH("145",A107)),ISNUMBER(SEARCH("200",A107)),ISNUMBER(SEARCH("130",A107))),"半马",
 "未明确"))</f>
        <v>未明确</v>
      </c>
    </row>
    <row r="108" spans="1:16" x14ac:dyDescent="0.2">
      <c r="A108" s="1" t="s">
        <v>370</v>
      </c>
      <c r="B108" s="2">
        <v>46090</v>
      </c>
      <c r="C108" s="1" t="s">
        <v>114</v>
      </c>
      <c r="D108" s="1">
        <v>289</v>
      </c>
      <c r="E108" s="1">
        <v>39</v>
      </c>
      <c r="F108" s="1">
        <v>20</v>
      </c>
      <c r="G108" s="1" t="s">
        <v>371</v>
      </c>
      <c r="H108" s="1" t="s">
        <v>372</v>
      </c>
      <c r="I108" s="1">
        <f t="shared" si="15"/>
        <v>0</v>
      </c>
      <c r="J108" s="1">
        <f t="shared" si="16"/>
        <v>1</v>
      </c>
      <c r="K108" s="1">
        <f t="shared" si="17"/>
        <v>0</v>
      </c>
      <c r="L108" s="1">
        <f t="shared" si="18"/>
        <v>0</v>
      </c>
      <c r="M108" s="1">
        <f t="shared" si="19"/>
        <v>1</v>
      </c>
      <c r="P108" t="str">
        <f>IF(OR(ISNUMBER(SEARCH("全马",A108)),ISNUMBER(SEARCH("42",A108)),ISNUMBER(SEARCH("破三",A108)),ISNUMBER(SEARCH("330",A108)),ISNUMBER(SEARCH("破四",A108)),ISNUMBER(SEARCH("430",A108))),"全马",
 IF(OR(ISNUMBER(SEARCH("半马",A108)),ISNUMBER(SEARCH("21",A108)),ISNUMBER(SEARCH("145",A108)),ISNUMBER(SEARCH("200",A108)),ISNUMBER(SEARCH("130",A108))),"半马",
 "未明确"))</f>
        <v>未明确</v>
      </c>
    </row>
    <row r="109" spans="1:16" x14ac:dyDescent="0.2">
      <c r="A109" s="1" t="s">
        <v>379</v>
      </c>
      <c r="B109" s="2">
        <v>46091</v>
      </c>
      <c r="C109" s="1" t="s">
        <v>126</v>
      </c>
      <c r="D109" s="1">
        <v>278</v>
      </c>
      <c r="E109" s="1">
        <v>44</v>
      </c>
      <c r="F109" s="1">
        <v>18</v>
      </c>
      <c r="G109" s="1" t="s">
        <v>380</v>
      </c>
      <c r="H109" s="1" t="s">
        <v>381</v>
      </c>
      <c r="I109" s="1">
        <f t="shared" si="15"/>
        <v>0</v>
      </c>
      <c r="J109" s="1">
        <f t="shared" si="16"/>
        <v>1</v>
      </c>
      <c r="K109" s="1">
        <f t="shared" si="17"/>
        <v>0</v>
      </c>
      <c r="L109" s="1">
        <f t="shared" si="18"/>
        <v>0</v>
      </c>
      <c r="M109" s="1">
        <f t="shared" si="19"/>
        <v>1</v>
      </c>
      <c r="P109" t="str">
        <f>IF(OR(ISNUMBER(SEARCH("全马",A109)),ISNUMBER(SEARCH("42",A109)),ISNUMBER(SEARCH("破三",A109)),ISNUMBER(SEARCH("330",A109)),ISNUMBER(SEARCH("破四",A109)),ISNUMBER(SEARCH("430",A109))),"全马",
 IF(OR(ISNUMBER(SEARCH("半马",A109)),ISNUMBER(SEARCH("21",A109)),ISNUMBER(SEARCH("145",A109)),ISNUMBER(SEARCH("200",A109)),ISNUMBER(SEARCH("130",A109))),"半马",
 "未明确"))</f>
        <v>未明确</v>
      </c>
    </row>
    <row r="110" spans="1:16" x14ac:dyDescent="0.2">
      <c r="A110" s="1" t="s">
        <v>382</v>
      </c>
      <c r="B110" s="2">
        <v>46089</v>
      </c>
      <c r="C110" s="1" t="s">
        <v>130</v>
      </c>
      <c r="D110" s="1">
        <v>433</v>
      </c>
      <c r="E110" s="1">
        <v>49</v>
      </c>
      <c r="F110" s="1">
        <v>30</v>
      </c>
      <c r="G110" s="1" t="s">
        <v>383</v>
      </c>
      <c r="H110" s="1" t="s">
        <v>384</v>
      </c>
      <c r="I110" s="1">
        <f t="shared" si="15"/>
        <v>0</v>
      </c>
      <c r="J110" s="1">
        <f t="shared" si="16"/>
        <v>1</v>
      </c>
      <c r="K110" s="1">
        <f t="shared" si="17"/>
        <v>0</v>
      </c>
      <c r="L110" s="1">
        <f t="shared" si="18"/>
        <v>0</v>
      </c>
      <c r="M110" s="1">
        <f t="shared" si="19"/>
        <v>1</v>
      </c>
      <c r="P110" t="str">
        <f>IF(OR(ISNUMBER(SEARCH("全马",A110)),ISNUMBER(SEARCH("42",A110)),ISNUMBER(SEARCH("破三",A110)),ISNUMBER(SEARCH("330",A110)),ISNUMBER(SEARCH("破四",A110)),ISNUMBER(SEARCH("430",A110))),"全马",
 IF(OR(ISNUMBER(SEARCH("半马",A110)),ISNUMBER(SEARCH("21",A110)),ISNUMBER(SEARCH("145",A110)),ISNUMBER(SEARCH("200",A110)),ISNUMBER(SEARCH("130",A110))),"半马",
 "未明确"))</f>
        <v>半马</v>
      </c>
    </row>
    <row r="111" spans="1:16" x14ac:dyDescent="0.2">
      <c r="A111" s="1" t="s">
        <v>385</v>
      </c>
      <c r="B111" s="2">
        <v>46086</v>
      </c>
      <c r="C111" s="1" t="s">
        <v>134</v>
      </c>
      <c r="D111" s="1">
        <v>201</v>
      </c>
      <c r="E111" s="1">
        <v>37</v>
      </c>
      <c r="F111" s="1">
        <v>13</v>
      </c>
      <c r="G111" s="1" t="s">
        <v>386</v>
      </c>
      <c r="H111" s="1" t="s">
        <v>387</v>
      </c>
      <c r="I111" s="1">
        <f t="shared" si="15"/>
        <v>1</v>
      </c>
      <c r="J111" s="1">
        <f t="shared" si="16"/>
        <v>0</v>
      </c>
      <c r="K111" s="1">
        <f t="shared" si="17"/>
        <v>0</v>
      </c>
      <c r="L111" s="1">
        <f t="shared" si="18"/>
        <v>0</v>
      </c>
      <c r="M111" s="1">
        <f t="shared" si="19"/>
        <v>1</v>
      </c>
      <c r="P111" t="str">
        <f>IF(OR(ISNUMBER(SEARCH("全马",A111)),ISNUMBER(SEARCH("42",A111)),ISNUMBER(SEARCH("破三",A111)),ISNUMBER(SEARCH("330",A111)),ISNUMBER(SEARCH("破四",A111)),ISNUMBER(SEARCH("430",A111))),"全马",
 IF(OR(ISNUMBER(SEARCH("半马",A111)),ISNUMBER(SEARCH("21",A111)),ISNUMBER(SEARCH("145",A111)),ISNUMBER(SEARCH("200",A111)),ISNUMBER(SEARCH("130",A111))),"半马",
 "未明确"))</f>
        <v>未明确</v>
      </c>
    </row>
    <row r="112" spans="1:16" x14ac:dyDescent="0.2">
      <c r="A112" s="1" t="s">
        <v>388</v>
      </c>
      <c r="B112" s="2">
        <v>46094</v>
      </c>
      <c r="C112" s="1" t="s">
        <v>138</v>
      </c>
      <c r="D112" s="1">
        <v>312</v>
      </c>
      <c r="E112" s="1">
        <v>30</v>
      </c>
      <c r="F112" s="1">
        <v>19</v>
      </c>
      <c r="G112" s="1" t="s">
        <v>389</v>
      </c>
      <c r="H112" s="1" t="s">
        <v>390</v>
      </c>
      <c r="I112" s="1">
        <f t="shared" si="15"/>
        <v>0</v>
      </c>
      <c r="J112" s="1">
        <f t="shared" si="16"/>
        <v>1</v>
      </c>
      <c r="K112" s="1">
        <f t="shared" si="17"/>
        <v>0</v>
      </c>
      <c r="L112" s="1">
        <f t="shared" si="18"/>
        <v>0</v>
      </c>
      <c r="M112" s="1">
        <f t="shared" si="19"/>
        <v>1</v>
      </c>
      <c r="P112" t="str">
        <f>IF(OR(ISNUMBER(SEARCH("全马",A112)),ISNUMBER(SEARCH("42",A112)),ISNUMBER(SEARCH("破三",A112)),ISNUMBER(SEARCH("330",A112)),ISNUMBER(SEARCH("破四",A112)),ISNUMBER(SEARCH("430",A112))),"全马",
 IF(OR(ISNUMBER(SEARCH("半马",A112)),ISNUMBER(SEARCH("21",A112)),ISNUMBER(SEARCH("145",A112)),ISNUMBER(SEARCH("200",A112)),ISNUMBER(SEARCH("130",A112))),"半马",
 "未明确"))</f>
        <v>未明确</v>
      </c>
    </row>
    <row r="113" spans="1:16" x14ac:dyDescent="0.2">
      <c r="A113" s="1" t="s">
        <v>394</v>
      </c>
      <c r="B113" s="2">
        <v>46088</v>
      </c>
      <c r="C113" s="1" t="s">
        <v>146</v>
      </c>
      <c r="D113" s="1">
        <v>344</v>
      </c>
      <c r="E113" s="1">
        <v>48</v>
      </c>
      <c r="F113" s="1">
        <v>25</v>
      </c>
      <c r="G113" s="1" t="s">
        <v>395</v>
      </c>
      <c r="H113" s="1" t="s">
        <v>396</v>
      </c>
      <c r="I113" s="1">
        <f t="shared" si="15"/>
        <v>0</v>
      </c>
      <c r="J113" s="1">
        <f t="shared" si="16"/>
        <v>1</v>
      </c>
      <c r="K113" s="1">
        <f t="shared" si="17"/>
        <v>0</v>
      </c>
      <c r="L113" s="1">
        <f t="shared" si="18"/>
        <v>0</v>
      </c>
      <c r="M113" s="1">
        <f t="shared" si="19"/>
        <v>1</v>
      </c>
      <c r="P113" t="str">
        <f>IF(OR(ISNUMBER(SEARCH("全马",A113)),ISNUMBER(SEARCH("42",A113)),ISNUMBER(SEARCH("破三",A113)),ISNUMBER(SEARCH("330",A113)),ISNUMBER(SEARCH("破四",A113)),ISNUMBER(SEARCH("430",A113))),"全马",
 IF(OR(ISNUMBER(SEARCH("半马",A113)),ISNUMBER(SEARCH("21",A113)),ISNUMBER(SEARCH("145",A113)),ISNUMBER(SEARCH("200",A113)),ISNUMBER(SEARCH("130",A113))),"半马",
 "未明确"))</f>
        <v>未明确</v>
      </c>
    </row>
    <row r="114" spans="1:16" x14ac:dyDescent="0.2">
      <c r="A114" s="1" t="s">
        <v>397</v>
      </c>
      <c r="B114" s="2">
        <v>46090</v>
      </c>
      <c r="C114" s="1" t="s">
        <v>150</v>
      </c>
      <c r="D114" s="1">
        <v>256</v>
      </c>
      <c r="E114" s="1">
        <v>33</v>
      </c>
      <c r="F114" s="1">
        <v>14</v>
      </c>
      <c r="G114" s="1" t="s">
        <v>398</v>
      </c>
      <c r="H114" s="1" t="s">
        <v>399</v>
      </c>
      <c r="I114" s="1">
        <f t="shared" si="15"/>
        <v>1</v>
      </c>
      <c r="J114" s="1">
        <f t="shared" si="16"/>
        <v>0</v>
      </c>
      <c r="K114" s="1">
        <f t="shared" si="17"/>
        <v>0</v>
      </c>
      <c r="L114" s="1">
        <f t="shared" si="18"/>
        <v>0</v>
      </c>
      <c r="M114" s="1">
        <f t="shared" si="19"/>
        <v>1</v>
      </c>
      <c r="P114" t="str">
        <f>IF(OR(ISNUMBER(SEARCH("全马",A114)),ISNUMBER(SEARCH("42",A114)),ISNUMBER(SEARCH("破三",A114)),ISNUMBER(SEARCH("330",A114)),ISNUMBER(SEARCH("破四",A114)),ISNUMBER(SEARCH("430",A114))),"全马",
 IF(OR(ISNUMBER(SEARCH("半马",A114)),ISNUMBER(SEARCH("21",A114)),ISNUMBER(SEARCH("145",A114)),ISNUMBER(SEARCH("200",A114)),ISNUMBER(SEARCH("130",A114))),"半马",
 "未明确"))</f>
        <v>未明确</v>
      </c>
    </row>
    <row r="115" spans="1:16" x14ac:dyDescent="0.2">
      <c r="A115" s="1" t="s">
        <v>400</v>
      </c>
      <c r="B115" s="2">
        <v>46095</v>
      </c>
      <c r="C115" s="3" t="s">
        <v>18</v>
      </c>
      <c r="D115" s="1">
        <v>489</v>
      </c>
      <c r="E115" s="1">
        <v>41</v>
      </c>
      <c r="F115" s="1">
        <v>32</v>
      </c>
      <c r="G115" s="1" t="s">
        <v>401</v>
      </c>
      <c r="H115" s="1" t="s">
        <v>402</v>
      </c>
      <c r="I115" s="1">
        <f t="shared" si="15"/>
        <v>1</v>
      </c>
      <c r="J115" s="1">
        <f t="shared" si="16"/>
        <v>0</v>
      </c>
      <c r="K115" s="1">
        <f t="shared" si="17"/>
        <v>0</v>
      </c>
      <c r="L115" s="1">
        <f t="shared" si="18"/>
        <v>0</v>
      </c>
      <c r="M115" s="1">
        <f t="shared" si="19"/>
        <v>1</v>
      </c>
      <c r="P115" t="str">
        <f>IF(OR(ISNUMBER(SEARCH("全马",A115)),ISNUMBER(SEARCH("42",A115)),ISNUMBER(SEARCH("破三",A115)),ISNUMBER(SEARCH("330",A115)),ISNUMBER(SEARCH("破四",A115)),ISNUMBER(SEARCH("430",A115))),"全马",
 IF(OR(ISNUMBER(SEARCH("半马",A115)),ISNUMBER(SEARCH("21",A115)),ISNUMBER(SEARCH("145",A115)),ISNUMBER(SEARCH("200",A115)),ISNUMBER(SEARCH("130",A115))),"半马",
 "未明确"))</f>
        <v>未明确</v>
      </c>
    </row>
    <row r="116" spans="1:16" x14ac:dyDescent="0.2">
      <c r="A116" s="1" t="s">
        <v>403</v>
      </c>
      <c r="B116" s="2">
        <v>46096</v>
      </c>
      <c r="C116" s="3" t="s">
        <v>14</v>
      </c>
      <c r="D116" s="1">
        <v>213</v>
      </c>
      <c r="E116" s="1">
        <v>28</v>
      </c>
      <c r="F116" s="1">
        <v>11</v>
      </c>
      <c r="G116" s="1" t="s">
        <v>404</v>
      </c>
      <c r="H116" s="1" t="s">
        <v>405</v>
      </c>
      <c r="I116" s="1">
        <f t="shared" si="15"/>
        <v>0</v>
      </c>
      <c r="J116" s="1">
        <f t="shared" si="16"/>
        <v>1</v>
      </c>
      <c r="K116" s="1">
        <f t="shared" si="17"/>
        <v>0</v>
      </c>
      <c r="L116" s="1">
        <f t="shared" si="18"/>
        <v>0</v>
      </c>
      <c r="M116" s="1">
        <f t="shared" si="19"/>
        <v>1</v>
      </c>
      <c r="P116" t="str">
        <f>IF(OR(ISNUMBER(SEARCH("全马",A116)),ISNUMBER(SEARCH("42",A116)),ISNUMBER(SEARCH("破三",A116)),ISNUMBER(SEARCH("330",A116)),ISNUMBER(SEARCH("破四",A116)),ISNUMBER(SEARCH("430",A116))),"全马",
 IF(OR(ISNUMBER(SEARCH("半马",A116)),ISNUMBER(SEARCH("21",A116)),ISNUMBER(SEARCH("145",A116)),ISNUMBER(SEARCH("200",A116)),ISNUMBER(SEARCH("130",A116))),"半马",
 "未明确"))</f>
        <v>未明确</v>
      </c>
    </row>
    <row r="117" spans="1:16" x14ac:dyDescent="0.2">
      <c r="A117" s="1" t="s">
        <v>406</v>
      </c>
      <c r="B117" s="2">
        <v>46094</v>
      </c>
      <c r="C117" s="3" t="s">
        <v>22</v>
      </c>
      <c r="D117" s="1">
        <v>567</v>
      </c>
      <c r="E117" s="1">
        <v>73</v>
      </c>
      <c r="F117" s="1">
        <v>48</v>
      </c>
      <c r="G117" s="1" t="s">
        <v>407</v>
      </c>
      <c r="H117" s="1" t="s">
        <v>408</v>
      </c>
      <c r="I117" s="1">
        <f t="shared" si="15"/>
        <v>1</v>
      </c>
      <c r="J117" s="1">
        <f t="shared" si="16"/>
        <v>0</v>
      </c>
      <c r="K117" s="1">
        <f t="shared" si="17"/>
        <v>0</v>
      </c>
      <c r="L117" s="1">
        <f t="shared" si="18"/>
        <v>0</v>
      </c>
      <c r="M117" s="1">
        <f t="shared" si="19"/>
        <v>1</v>
      </c>
      <c r="P117" t="str">
        <f>IF(OR(ISNUMBER(SEARCH("全马",A117)),ISNUMBER(SEARCH("42",A117)),ISNUMBER(SEARCH("破三",A117)),ISNUMBER(SEARCH("330",A117)),ISNUMBER(SEARCH("破四",A117)),ISNUMBER(SEARCH("430",A117))),"全马",
 IF(OR(ISNUMBER(SEARCH("半马",A117)),ISNUMBER(SEARCH("21",A117)),ISNUMBER(SEARCH("145",A117)),ISNUMBER(SEARCH("200",A117)),ISNUMBER(SEARCH("130",A117))),"半马",
 "未明确"))</f>
        <v>全马</v>
      </c>
    </row>
    <row r="118" spans="1:16" x14ac:dyDescent="0.2">
      <c r="A118" s="1" t="s">
        <v>409</v>
      </c>
      <c r="B118" s="2">
        <v>46095</v>
      </c>
      <c r="C118" s="3" t="s">
        <v>26</v>
      </c>
      <c r="D118" s="1">
        <v>345</v>
      </c>
      <c r="E118" s="1">
        <v>39</v>
      </c>
      <c r="F118" s="1">
        <v>23</v>
      </c>
      <c r="G118" s="1" t="s">
        <v>410</v>
      </c>
      <c r="H118" s="1" t="s">
        <v>411</v>
      </c>
      <c r="I118" s="1">
        <f t="shared" si="15"/>
        <v>0</v>
      </c>
      <c r="J118" s="1">
        <f t="shared" si="16"/>
        <v>1</v>
      </c>
      <c r="K118" s="1">
        <f t="shared" si="17"/>
        <v>0</v>
      </c>
      <c r="L118" s="1">
        <f t="shared" si="18"/>
        <v>0</v>
      </c>
      <c r="M118" s="1">
        <f t="shared" si="19"/>
        <v>1</v>
      </c>
      <c r="P118" t="str">
        <f>IF(OR(ISNUMBER(SEARCH("全马",A118)),ISNUMBER(SEARCH("42",A118)),ISNUMBER(SEARCH("破三",A118)),ISNUMBER(SEARCH("330",A118)),ISNUMBER(SEARCH("破四",A118)),ISNUMBER(SEARCH("430",A118))),"全马",
 IF(OR(ISNUMBER(SEARCH("半马",A118)),ISNUMBER(SEARCH("21",A118)),ISNUMBER(SEARCH("145",A118)),ISNUMBER(SEARCH("200",A118)),ISNUMBER(SEARCH("130",A118))),"半马",
 "未明确"))</f>
        <v>未明确</v>
      </c>
    </row>
    <row r="119" spans="1:16" x14ac:dyDescent="0.2">
      <c r="A119" s="1" t="s">
        <v>412</v>
      </c>
      <c r="B119" s="2">
        <v>46093</v>
      </c>
      <c r="C119" s="3" t="s">
        <v>30</v>
      </c>
      <c r="D119" s="1">
        <v>678</v>
      </c>
      <c r="E119" s="1">
        <v>81</v>
      </c>
      <c r="F119" s="1">
        <v>56</v>
      </c>
      <c r="G119" s="1" t="s">
        <v>413</v>
      </c>
      <c r="H119" s="1" t="s">
        <v>414</v>
      </c>
      <c r="I119" s="1">
        <f t="shared" si="15"/>
        <v>1</v>
      </c>
      <c r="J119" s="1">
        <f t="shared" si="16"/>
        <v>0</v>
      </c>
      <c r="K119" s="1">
        <f t="shared" si="17"/>
        <v>0</v>
      </c>
      <c r="L119" s="1">
        <f t="shared" si="18"/>
        <v>0</v>
      </c>
      <c r="M119" s="1">
        <f t="shared" si="19"/>
        <v>1</v>
      </c>
      <c r="P119" t="str">
        <f>IF(OR(ISNUMBER(SEARCH("全马",A119)),ISNUMBER(SEARCH("42",A119)),ISNUMBER(SEARCH("破三",A119)),ISNUMBER(SEARCH("330",A119)),ISNUMBER(SEARCH("破四",A119)),ISNUMBER(SEARCH("430",A119))),"全马",
 IF(OR(ISNUMBER(SEARCH("半马",A119)),ISNUMBER(SEARCH("21",A119)),ISNUMBER(SEARCH("145",A119)),ISNUMBER(SEARCH("200",A119)),ISNUMBER(SEARCH("130",A119))),"半马",
 "未明确"))</f>
        <v>半马</v>
      </c>
    </row>
    <row r="120" spans="1:16" x14ac:dyDescent="0.2">
      <c r="A120" s="1" t="s">
        <v>415</v>
      </c>
      <c r="B120" s="2">
        <v>46096</v>
      </c>
      <c r="C120" s="3" t="s">
        <v>34</v>
      </c>
      <c r="D120" s="1">
        <v>401</v>
      </c>
      <c r="E120" s="1">
        <v>52</v>
      </c>
      <c r="F120" s="1">
        <v>27</v>
      </c>
      <c r="G120" s="1" t="s">
        <v>416</v>
      </c>
      <c r="H120" s="1" t="s">
        <v>417</v>
      </c>
      <c r="I120" s="1">
        <f t="shared" si="15"/>
        <v>0</v>
      </c>
      <c r="J120" s="1">
        <f t="shared" si="16"/>
        <v>1</v>
      </c>
      <c r="K120" s="1">
        <f t="shared" si="17"/>
        <v>0</v>
      </c>
      <c r="L120" s="1">
        <f t="shared" si="18"/>
        <v>0</v>
      </c>
      <c r="M120" s="1">
        <f t="shared" si="19"/>
        <v>1</v>
      </c>
      <c r="P120" t="str">
        <f>IF(OR(ISNUMBER(SEARCH("全马",A120)),ISNUMBER(SEARCH("42",A120)),ISNUMBER(SEARCH("破三",A120)),ISNUMBER(SEARCH("330",A120)),ISNUMBER(SEARCH("破四",A120)),ISNUMBER(SEARCH("430",A120))),"全马",
 IF(OR(ISNUMBER(SEARCH("半马",A120)),ISNUMBER(SEARCH("21",A120)),ISNUMBER(SEARCH("145",A120)),ISNUMBER(SEARCH("200",A120)),ISNUMBER(SEARCH("130",A120))),"半马",
 "未明确"))</f>
        <v>未明确</v>
      </c>
    </row>
    <row r="121" spans="1:16" x14ac:dyDescent="0.2">
      <c r="A121" s="1" t="s">
        <v>418</v>
      </c>
      <c r="B121" s="2">
        <v>46092</v>
      </c>
      <c r="C121" s="3" t="s">
        <v>38</v>
      </c>
      <c r="D121" s="1">
        <v>267</v>
      </c>
      <c r="E121" s="1">
        <v>31</v>
      </c>
      <c r="F121" s="1">
        <v>16</v>
      </c>
      <c r="G121" s="1" t="s">
        <v>419</v>
      </c>
      <c r="H121" s="1" t="s">
        <v>420</v>
      </c>
      <c r="I121" s="1">
        <f t="shared" si="15"/>
        <v>1</v>
      </c>
      <c r="J121" s="1">
        <f t="shared" si="16"/>
        <v>0</v>
      </c>
      <c r="K121" s="1">
        <f t="shared" si="17"/>
        <v>0</v>
      </c>
      <c r="L121" s="1">
        <f t="shared" si="18"/>
        <v>0</v>
      </c>
      <c r="M121" s="1">
        <f t="shared" si="19"/>
        <v>1</v>
      </c>
      <c r="P121" t="str">
        <f>IF(OR(ISNUMBER(SEARCH("全马",A121)),ISNUMBER(SEARCH("42",A121)),ISNUMBER(SEARCH("破三",A121)),ISNUMBER(SEARCH("330",A121)),ISNUMBER(SEARCH("破四",A121)),ISNUMBER(SEARCH("430",A121))),"全马",
 IF(OR(ISNUMBER(SEARCH("半马",A121)),ISNUMBER(SEARCH("21",A121)),ISNUMBER(SEARCH("145",A121)),ISNUMBER(SEARCH("200",A121)),ISNUMBER(SEARCH("130",A121))),"半马",
 "未明确"))</f>
        <v>未明确</v>
      </c>
    </row>
    <row r="122" spans="1:16" x14ac:dyDescent="0.2">
      <c r="A122" s="1" t="s">
        <v>424</v>
      </c>
      <c r="B122" s="2">
        <v>46091</v>
      </c>
      <c r="C122" s="3" t="s">
        <v>46</v>
      </c>
      <c r="D122" s="1">
        <v>298</v>
      </c>
      <c r="E122" s="1">
        <v>27</v>
      </c>
      <c r="F122" s="1">
        <v>15</v>
      </c>
      <c r="G122" s="1" t="s">
        <v>425</v>
      </c>
      <c r="H122" s="1" t="s">
        <v>426</v>
      </c>
      <c r="I122" s="1">
        <f t="shared" si="15"/>
        <v>0</v>
      </c>
      <c r="J122" s="1">
        <f t="shared" si="16"/>
        <v>1</v>
      </c>
      <c r="K122" s="1">
        <f t="shared" si="17"/>
        <v>0</v>
      </c>
      <c r="L122" s="1">
        <f t="shared" si="18"/>
        <v>0</v>
      </c>
      <c r="M122" s="1">
        <f t="shared" si="19"/>
        <v>1</v>
      </c>
      <c r="P122" t="str">
        <f>IF(OR(ISNUMBER(SEARCH("全马",A122)),ISNUMBER(SEARCH("42",A122)),ISNUMBER(SEARCH("破三",A122)),ISNUMBER(SEARCH("330",A122)),ISNUMBER(SEARCH("破四",A122)),ISNUMBER(SEARCH("430",A122))),"全马",
 IF(OR(ISNUMBER(SEARCH("半马",A122)),ISNUMBER(SEARCH("21",A122)),ISNUMBER(SEARCH("145",A122)),ISNUMBER(SEARCH("200",A122)),ISNUMBER(SEARCH("130",A122))),"半马",
 "未明确"))</f>
        <v>未明确</v>
      </c>
    </row>
    <row r="123" spans="1:16" x14ac:dyDescent="0.2">
      <c r="A123" s="1" t="s">
        <v>427</v>
      </c>
      <c r="B123" s="2">
        <v>46094</v>
      </c>
      <c r="C123" s="3" t="s">
        <v>58</v>
      </c>
      <c r="D123" s="1">
        <v>367</v>
      </c>
      <c r="E123" s="1">
        <v>94</v>
      </c>
      <c r="F123" s="1">
        <v>33</v>
      </c>
      <c r="G123" s="1" t="s">
        <v>428</v>
      </c>
      <c r="H123" s="1" t="s">
        <v>429</v>
      </c>
      <c r="I123" s="1">
        <f t="shared" si="15"/>
        <v>1</v>
      </c>
      <c r="J123" s="1">
        <f t="shared" si="16"/>
        <v>0</v>
      </c>
      <c r="K123" s="1">
        <f t="shared" si="17"/>
        <v>0</v>
      </c>
      <c r="L123" s="1">
        <f t="shared" si="18"/>
        <v>0</v>
      </c>
      <c r="M123" s="1">
        <f t="shared" si="19"/>
        <v>1</v>
      </c>
      <c r="P123" t="str">
        <f>IF(OR(ISNUMBER(SEARCH("全马",A123)),ISNUMBER(SEARCH("42",A123)),ISNUMBER(SEARCH("破三",A123)),ISNUMBER(SEARCH("330",A123)),ISNUMBER(SEARCH("破四",A123)),ISNUMBER(SEARCH("430",A123))),"全马",
 IF(OR(ISNUMBER(SEARCH("半马",A123)),ISNUMBER(SEARCH("21",A123)),ISNUMBER(SEARCH("145",A123)),ISNUMBER(SEARCH("200",A123)),ISNUMBER(SEARCH("130",A123))),"半马",
 "未明确"))</f>
        <v>半马</v>
      </c>
    </row>
    <row r="124" spans="1:16" x14ac:dyDescent="0.2">
      <c r="A124" s="1" t="s">
        <v>433</v>
      </c>
      <c r="B124" s="2">
        <v>46093</v>
      </c>
      <c r="C124" s="3" t="s">
        <v>62</v>
      </c>
      <c r="D124" s="1">
        <v>534</v>
      </c>
      <c r="E124" s="1">
        <v>46</v>
      </c>
      <c r="F124" s="1">
        <v>37</v>
      </c>
      <c r="G124" s="1" t="s">
        <v>434</v>
      </c>
      <c r="H124" s="1" t="s">
        <v>435</v>
      </c>
      <c r="I124" s="1">
        <f t="shared" si="15"/>
        <v>0</v>
      </c>
      <c r="J124" s="1">
        <f t="shared" si="16"/>
        <v>1</v>
      </c>
      <c r="K124" s="1">
        <f t="shared" si="17"/>
        <v>0</v>
      </c>
      <c r="L124" s="1">
        <f t="shared" si="18"/>
        <v>0</v>
      </c>
      <c r="M124" s="1">
        <f t="shared" si="19"/>
        <v>1</v>
      </c>
      <c r="P124" t="str">
        <f>IF(OR(ISNUMBER(SEARCH("全马",A124)),ISNUMBER(SEARCH("42",A124)),ISNUMBER(SEARCH("破三",A124)),ISNUMBER(SEARCH("330",A124)),ISNUMBER(SEARCH("破四",A124)),ISNUMBER(SEARCH("430",A124))),"全马",
 IF(OR(ISNUMBER(SEARCH("半马",A124)),ISNUMBER(SEARCH("21",A124)),ISNUMBER(SEARCH("145",A124)),ISNUMBER(SEARCH("200",A124)),ISNUMBER(SEARCH("130",A124))),"半马",
 "未明确"))</f>
        <v>未明确</v>
      </c>
    </row>
    <row r="125" spans="1:16" x14ac:dyDescent="0.2">
      <c r="A125" s="1" t="s">
        <v>436</v>
      </c>
      <c r="B125" s="2">
        <v>46095</v>
      </c>
      <c r="C125" s="3" t="s">
        <v>42</v>
      </c>
      <c r="D125" s="1">
        <v>378</v>
      </c>
      <c r="E125" s="1">
        <v>44</v>
      </c>
      <c r="F125" s="1">
        <v>25</v>
      </c>
      <c r="G125" s="1" t="s">
        <v>437</v>
      </c>
      <c r="H125" s="1" t="s">
        <v>438</v>
      </c>
      <c r="I125" s="1">
        <f t="shared" si="15"/>
        <v>0</v>
      </c>
      <c r="J125" s="1">
        <f t="shared" si="16"/>
        <v>1</v>
      </c>
      <c r="K125" s="1">
        <f t="shared" si="17"/>
        <v>0</v>
      </c>
      <c r="L125" s="1">
        <f t="shared" si="18"/>
        <v>0</v>
      </c>
      <c r="M125" s="1">
        <f t="shared" si="19"/>
        <v>1</v>
      </c>
      <c r="P125" t="str">
        <f>IF(OR(ISNUMBER(SEARCH("全马",A125)),ISNUMBER(SEARCH("42",A125)),ISNUMBER(SEARCH("破三",A125)),ISNUMBER(SEARCH("330",A125)),ISNUMBER(SEARCH("破四",A125)),ISNUMBER(SEARCH("430",A125))),"全马",
 IF(OR(ISNUMBER(SEARCH("半马",A125)),ISNUMBER(SEARCH("21",A125)),ISNUMBER(SEARCH("145",A125)),ISNUMBER(SEARCH("200",A125)),ISNUMBER(SEARCH("130",A125))),"半马",
 "未明确"))</f>
        <v>全马</v>
      </c>
    </row>
    <row r="126" spans="1:16" x14ac:dyDescent="0.2">
      <c r="A126" s="1" t="s">
        <v>439</v>
      </c>
      <c r="B126" s="2">
        <v>46092</v>
      </c>
      <c r="C126" s="3" t="s">
        <v>66</v>
      </c>
      <c r="D126" s="1">
        <v>334</v>
      </c>
      <c r="E126" s="1">
        <v>71</v>
      </c>
      <c r="F126" s="1">
        <v>28</v>
      </c>
      <c r="G126" s="1" t="s">
        <v>440</v>
      </c>
      <c r="H126" s="1" t="s">
        <v>441</v>
      </c>
      <c r="I126" s="1">
        <f t="shared" si="15"/>
        <v>1</v>
      </c>
      <c r="J126" s="1">
        <f t="shared" si="16"/>
        <v>0</v>
      </c>
      <c r="K126" s="1">
        <f t="shared" si="17"/>
        <v>0</v>
      </c>
      <c r="L126" s="1">
        <f t="shared" si="18"/>
        <v>0</v>
      </c>
      <c r="M126" s="1">
        <f t="shared" si="19"/>
        <v>1</v>
      </c>
      <c r="P126" t="str">
        <f>IF(OR(ISNUMBER(SEARCH("全马",A126)),ISNUMBER(SEARCH("42",A126)),ISNUMBER(SEARCH("破三",A126)),ISNUMBER(SEARCH("330",A126)),ISNUMBER(SEARCH("破四",A126)),ISNUMBER(SEARCH("430",A126))),"全马",
 IF(OR(ISNUMBER(SEARCH("半马",A126)),ISNUMBER(SEARCH("21",A126)),ISNUMBER(SEARCH("145",A126)),ISNUMBER(SEARCH("200",A126)),ISNUMBER(SEARCH("130",A126))),"半马",
 "未明确"))</f>
        <v>未明确</v>
      </c>
    </row>
    <row r="127" spans="1:16" x14ac:dyDescent="0.2">
      <c r="A127" s="1" t="s">
        <v>442</v>
      </c>
      <c r="B127" s="2">
        <v>46096</v>
      </c>
      <c r="C127" s="3" t="s">
        <v>70</v>
      </c>
      <c r="D127" s="1">
        <v>412</v>
      </c>
      <c r="E127" s="1">
        <v>39</v>
      </c>
      <c r="F127" s="1">
        <v>24</v>
      </c>
      <c r="G127" s="1" t="s">
        <v>443</v>
      </c>
      <c r="H127" s="1" t="s">
        <v>444</v>
      </c>
      <c r="I127" s="1">
        <f t="shared" si="15"/>
        <v>0</v>
      </c>
      <c r="J127" s="1">
        <f t="shared" si="16"/>
        <v>1</v>
      </c>
      <c r="K127" s="1">
        <f t="shared" si="17"/>
        <v>0</v>
      </c>
      <c r="L127" s="1">
        <f t="shared" si="18"/>
        <v>0</v>
      </c>
      <c r="M127" s="1">
        <f t="shared" si="19"/>
        <v>1</v>
      </c>
      <c r="P127" t="str">
        <f>IF(OR(ISNUMBER(SEARCH("全马",A127)),ISNUMBER(SEARCH("42",A127)),ISNUMBER(SEARCH("破三",A127)),ISNUMBER(SEARCH("330",A127)),ISNUMBER(SEARCH("破四",A127)),ISNUMBER(SEARCH("430",A127))),"全马",
 IF(OR(ISNUMBER(SEARCH("半马",A127)),ISNUMBER(SEARCH("21",A127)),ISNUMBER(SEARCH("145",A127)),ISNUMBER(SEARCH("200",A127)),ISNUMBER(SEARCH("130",A127))),"半马",
 "未明确"))</f>
        <v>未明确</v>
      </c>
    </row>
    <row r="128" spans="1:16" x14ac:dyDescent="0.2">
      <c r="A128" s="1" t="s">
        <v>445</v>
      </c>
      <c r="B128" s="2">
        <v>46094</v>
      </c>
      <c r="C128" s="3" t="s">
        <v>74</v>
      </c>
      <c r="D128" s="1">
        <v>256</v>
      </c>
      <c r="E128" s="1">
        <v>28</v>
      </c>
      <c r="F128" s="1">
        <v>14</v>
      </c>
      <c r="G128" s="1" t="s">
        <v>446</v>
      </c>
      <c r="H128" s="1" t="s">
        <v>351</v>
      </c>
      <c r="I128" s="1">
        <f t="shared" si="15"/>
        <v>1</v>
      </c>
      <c r="J128" s="1">
        <f t="shared" si="16"/>
        <v>0</v>
      </c>
      <c r="K128" s="1">
        <f t="shared" si="17"/>
        <v>0</v>
      </c>
      <c r="L128" s="1">
        <f t="shared" si="18"/>
        <v>0</v>
      </c>
      <c r="M128" s="1">
        <f t="shared" si="19"/>
        <v>1</v>
      </c>
      <c r="P128" t="str">
        <f>IF(OR(ISNUMBER(SEARCH("全马",A128)),ISNUMBER(SEARCH("42",A128)),ISNUMBER(SEARCH("破三",A128)),ISNUMBER(SEARCH("330",A128)),ISNUMBER(SEARCH("破四",A128)),ISNUMBER(SEARCH("430",A128))),"全马",
 IF(OR(ISNUMBER(SEARCH("半马",A128)),ISNUMBER(SEARCH("21",A128)),ISNUMBER(SEARCH("145",A128)),ISNUMBER(SEARCH("200",A128)),ISNUMBER(SEARCH("130",A128))),"半马",
 "未明确"))</f>
        <v>半马</v>
      </c>
    </row>
    <row r="129" spans="1:16" x14ac:dyDescent="0.2">
      <c r="A129" s="1" t="s">
        <v>447</v>
      </c>
      <c r="B129" s="2">
        <v>46095</v>
      </c>
      <c r="C129" s="3" t="s">
        <v>78</v>
      </c>
      <c r="D129" s="1">
        <v>489</v>
      </c>
      <c r="E129" s="1">
        <v>51</v>
      </c>
      <c r="F129" s="1">
        <v>34</v>
      </c>
      <c r="G129" s="1" t="s">
        <v>448</v>
      </c>
      <c r="H129" s="1" t="s">
        <v>449</v>
      </c>
      <c r="I129" s="1">
        <f t="shared" si="15"/>
        <v>0</v>
      </c>
      <c r="J129" s="1">
        <f t="shared" si="16"/>
        <v>1</v>
      </c>
      <c r="K129" s="1">
        <f t="shared" si="17"/>
        <v>0</v>
      </c>
      <c r="L129" s="1">
        <f t="shared" si="18"/>
        <v>0</v>
      </c>
      <c r="M129" s="1">
        <f t="shared" si="19"/>
        <v>1</v>
      </c>
      <c r="P129" t="str">
        <f>IF(OR(ISNUMBER(SEARCH("全马",A129)),ISNUMBER(SEARCH("42",A129)),ISNUMBER(SEARCH("破三",A129)),ISNUMBER(SEARCH("330",A129)),ISNUMBER(SEARCH("破四",A129)),ISNUMBER(SEARCH("430",A129))),"全马",
 IF(OR(ISNUMBER(SEARCH("半马",A129)),ISNUMBER(SEARCH("21",A129)),ISNUMBER(SEARCH("145",A129)),ISNUMBER(SEARCH("200",A129)),ISNUMBER(SEARCH("130",A129))),"半马",
 "未明确"))</f>
        <v>全马</v>
      </c>
    </row>
    <row r="130" spans="1:16" x14ac:dyDescent="0.2">
      <c r="A130" s="1" t="s">
        <v>450</v>
      </c>
      <c r="B130" s="2">
        <v>46091</v>
      </c>
      <c r="C130" s="3" t="s">
        <v>82</v>
      </c>
      <c r="D130" s="1">
        <v>223</v>
      </c>
      <c r="E130" s="1">
        <v>41</v>
      </c>
      <c r="F130" s="1">
        <v>15</v>
      </c>
      <c r="G130" s="1" t="s">
        <v>451</v>
      </c>
      <c r="H130" s="1" t="s">
        <v>452</v>
      </c>
      <c r="I130" s="1">
        <f t="shared" ref="I130:I161" si="20">--ISNUMBER(SEARCH("间歇",$A130))</f>
        <v>0</v>
      </c>
      <c r="J130" s="1">
        <f t="shared" ref="J130:J161" si="21">--ISNUMBER(SEARCH("LSD",$A130))</f>
        <v>1</v>
      </c>
      <c r="K130" s="1">
        <f t="shared" ref="K130:K161" si="22">--OR(ISNUMBER(SEARCH("节奏",$A130)),ISNUMBER(SEARCH("阈",$A130)))</f>
        <v>0</v>
      </c>
      <c r="L130" s="1">
        <f t="shared" ref="L130:L161" si="23">--ISNUMBER(SEARCH("力量",$A130))</f>
        <v>0</v>
      </c>
      <c r="M130" s="1">
        <f t="shared" ref="M130:M161" si="24">I130+J130+K130+L130</f>
        <v>1</v>
      </c>
      <c r="P130" t="str">
        <f>IF(OR(ISNUMBER(SEARCH("全马",A130)),ISNUMBER(SEARCH("42",A130)),ISNUMBER(SEARCH("破三",A130)),ISNUMBER(SEARCH("330",A130)),ISNUMBER(SEARCH("破四",A130)),ISNUMBER(SEARCH("430",A130))),"全马",
 IF(OR(ISNUMBER(SEARCH("半马",A130)),ISNUMBER(SEARCH("21",A130)),ISNUMBER(SEARCH("145",A130)),ISNUMBER(SEARCH("200",A130)),ISNUMBER(SEARCH("130",A130))),"半马",
 "未明确"))</f>
        <v>未明确</v>
      </c>
    </row>
    <row r="131" spans="1:16" x14ac:dyDescent="0.2">
      <c r="A131" s="1" t="s">
        <v>453</v>
      </c>
      <c r="B131" s="2">
        <v>46093</v>
      </c>
      <c r="C131" s="3" t="s">
        <v>86</v>
      </c>
      <c r="D131" s="1">
        <v>311</v>
      </c>
      <c r="E131" s="1">
        <v>35</v>
      </c>
      <c r="F131" s="1">
        <v>20</v>
      </c>
      <c r="G131" s="1" t="s">
        <v>454</v>
      </c>
      <c r="H131" s="1" t="s">
        <v>455</v>
      </c>
      <c r="I131" s="1">
        <f t="shared" si="20"/>
        <v>1</v>
      </c>
      <c r="J131" s="1">
        <f t="shared" si="21"/>
        <v>0</v>
      </c>
      <c r="K131" s="1">
        <f t="shared" si="22"/>
        <v>0</v>
      </c>
      <c r="L131" s="1">
        <f t="shared" si="23"/>
        <v>0</v>
      </c>
      <c r="M131" s="1">
        <f t="shared" si="24"/>
        <v>1</v>
      </c>
      <c r="P131" t="str">
        <f>IF(OR(ISNUMBER(SEARCH("全马",A131)),ISNUMBER(SEARCH("42",A131)),ISNUMBER(SEARCH("破三",A131)),ISNUMBER(SEARCH("330",A131)),ISNUMBER(SEARCH("破四",A131)),ISNUMBER(SEARCH("430",A131))),"全马",
 IF(OR(ISNUMBER(SEARCH("半马",A131)),ISNUMBER(SEARCH("21",A131)),ISNUMBER(SEARCH("145",A131)),ISNUMBER(SEARCH("200",A131)),ISNUMBER(SEARCH("130",A131))),"半马",
 "未明确"))</f>
        <v>未明确</v>
      </c>
    </row>
    <row r="132" spans="1:16" x14ac:dyDescent="0.2">
      <c r="A132" s="1" t="s">
        <v>456</v>
      </c>
      <c r="B132" s="2">
        <v>46096</v>
      </c>
      <c r="C132" s="3" t="s">
        <v>90</v>
      </c>
      <c r="D132" s="1">
        <v>623</v>
      </c>
      <c r="E132" s="1">
        <v>77</v>
      </c>
      <c r="F132" s="1">
        <v>52</v>
      </c>
      <c r="G132" s="1" t="s">
        <v>457</v>
      </c>
      <c r="H132" s="1" t="s">
        <v>458</v>
      </c>
      <c r="I132" s="1">
        <f t="shared" si="20"/>
        <v>0</v>
      </c>
      <c r="J132" s="1">
        <f t="shared" si="21"/>
        <v>1</v>
      </c>
      <c r="K132" s="1">
        <f t="shared" si="22"/>
        <v>0</v>
      </c>
      <c r="L132" s="1">
        <f t="shared" si="23"/>
        <v>0</v>
      </c>
      <c r="M132" s="1">
        <f t="shared" si="24"/>
        <v>1</v>
      </c>
      <c r="P132" t="str">
        <f>IF(OR(ISNUMBER(SEARCH("全马",A132)),ISNUMBER(SEARCH("42",A132)),ISNUMBER(SEARCH("破三",A132)),ISNUMBER(SEARCH("330",A132)),ISNUMBER(SEARCH("破四",A132)),ISNUMBER(SEARCH("430",A132))),"全马",
 IF(OR(ISNUMBER(SEARCH("半马",A132)),ISNUMBER(SEARCH("21",A132)),ISNUMBER(SEARCH("145",A132)),ISNUMBER(SEARCH("200",A132)),ISNUMBER(SEARCH("130",A132))),"半马",
 "未明确"))</f>
        <v>半马</v>
      </c>
    </row>
    <row r="133" spans="1:16" x14ac:dyDescent="0.2">
      <c r="A133" s="1" t="s">
        <v>459</v>
      </c>
      <c r="B133" s="2">
        <v>46092</v>
      </c>
      <c r="C133" s="3" t="s">
        <v>94</v>
      </c>
      <c r="D133" s="1">
        <v>289</v>
      </c>
      <c r="E133" s="1">
        <v>63</v>
      </c>
      <c r="F133" s="1">
        <v>21</v>
      </c>
      <c r="G133" s="1" t="s">
        <v>460</v>
      </c>
      <c r="H133" s="1" t="s">
        <v>461</v>
      </c>
      <c r="I133" s="1">
        <f t="shared" si="20"/>
        <v>0</v>
      </c>
      <c r="J133" s="1">
        <f t="shared" si="21"/>
        <v>1</v>
      </c>
      <c r="K133" s="1">
        <f t="shared" si="22"/>
        <v>0</v>
      </c>
      <c r="L133" s="1">
        <f t="shared" si="23"/>
        <v>0</v>
      </c>
      <c r="M133" s="1">
        <f t="shared" si="24"/>
        <v>1</v>
      </c>
      <c r="P133" t="str">
        <f>IF(OR(ISNUMBER(SEARCH("全马",A133)),ISNUMBER(SEARCH("42",A133)),ISNUMBER(SEARCH("破三",A133)),ISNUMBER(SEARCH("330",A133)),ISNUMBER(SEARCH("破四",A133)),ISNUMBER(SEARCH("430",A133))),"全马",
 IF(OR(ISNUMBER(SEARCH("半马",A133)),ISNUMBER(SEARCH("21",A133)),ISNUMBER(SEARCH("145",A133)),ISNUMBER(SEARCH("200",A133)),ISNUMBER(SEARCH("130",A133))),"半马",
 "未明确"))</f>
        <v>未明确</v>
      </c>
    </row>
    <row r="134" spans="1:16" x14ac:dyDescent="0.2">
      <c r="A134" s="1" t="s">
        <v>462</v>
      </c>
      <c r="B134" s="2">
        <v>46094</v>
      </c>
      <c r="C134" s="3" t="s">
        <v>98</v>
      </c>
      <c r="D134" s="1">
        <v>267</v>
      </c>
      <c r="E134" s="1">
        <v>32</v>
      </c>
      <c r="F134" s="1">
        <v>17</v>
      </c>
      <c r="G134" s="1" t="s">
        <v>463</v>
      </c>
      <c r="H134" s="1" t="s">
        <v>464</v>
      </c>
      <c r="I134" s="1">
        <f t="shared" si="20"/>
        <v>1</v>
      </c>
      <c r="J134" s="1">
        <f t="shared" si="21"/>
        <v>0</v>
      </c>
      <c r="K134" s="1">
        <f t="shared" si="22"/>
        <v>0</v>
      </c>
      <c r="L134" s="1">
        <f t="shared" si="23"/>
        <v>0</v>
      </c>
      <c r="M134" s="1">
        <f t="shared" si="24"/>
        <v>1</v>
      </c>
      <c r="P134" t="str">
        <f>IF(OR(ISNUMBER(SEARCH("全马",A134)),ISNUMBER(SEARCH("42",A134)),ISNUMBER(SEARCH("破三",A134)),ISNUMBER(SEARCH("330",A134)),ISNUMBER(SEARCH("破四",A134)),ISNUMBER(SEARCH("430",A134))),"全马",
 IF(OR(ISNUMBER(SEARCH("半马",A134)),ISNUMBER(SEARCH("21",A134)),ISNUMBER(SEARCH("145",A134)),ISNUMBER(SEARCH("200",A134)),ISNUMBER(SEARCH("130",A134))),"半马",
 "未明确"))</f>
        <v>未明确</v>
      </c>
    </row>
    <row r="135" spans="1:16" x14ac:dyDescent="0.2">
      <c r="A135" s="1" t="s">
        <v>465</v>
      </c>
      <c r="B135" s="2">
        <v>46095</v>
      </c>
      <c r="C135" s="3" t="s">
        <v>102</v>
      </c>
      <c r="D135" s="1">
        <v>456</v>
      </c>
      <c r="E135" s="1">
        <v>42</v>
      </c>
      <c r="F135" s="1">
        <v>29</v>
      </c>
      <c r="G135" s="1" t="s">
        <v>466</v>
      </c>
      <c r="H135" s="1" t="s">
        <v>467</v>
      </c>
      <c r="I135" s="1">
        <f t="shared" si="20"/>
        <v>0</v>
      </c>
      <c r="J135" s="1">
        <f t="shared" si="21"/>
        <v>1</v>
      </c>
      <c r="K135" s="1">
        <f t="shared" si="22"/>
        <v>0</v>
      </c>
      <c r="L135" s="1">
        <f t="shared" si="23"/>
        <v>0</v>
      </c>
      <c r="M135" s="1">
        <f t="shared" si="24"/>
        <v>1</v>
      </c>
      <c r="P135" t="str">
        <f>IF(OR(ISNUMBER(SEARCH("全马",A135)),ISNUMBER(SEARCH("42",A135)),ISNUMBER(SEARCH("破三",A135)),ISNUMBER(SEARCH("330",A135)),ISNUMBER(SEARCH("破四",A135)),ISNUMBER(SEARCH("430",A135))),"全马",
 IF(OR(ISNUMBER(SEARCH("半马",A135)),ISNUMBER(SEARCH("21",A135)),ISNUMBER(SEARCH("145",A135)),ISNUMBER(SEARCH("200",A135)),ISNUMBER(SEARCH("130",A135))),"半马",
 "未明确"))</f>
        <v>全马</v>
      </c>
    </row>
    <row r="136" spans="1:16" x14ac:dyDescent="0.2">
      <c r="A136" s="1" t="s">
        <v>468</v>
      </c>
      <c r="B136" s="2">
        <v>46091</v>
      </c>
      <c r="C136" s="3" t="s">
        <v>106</v>
      </c>
      <c r="D136" s="1">
        <v>234</v>
      </c>
      <c r="E136" s="1">
        <v>26</v>
      </c>
      <c r="F136" s="1">
        <v>12</v>
      </c>
      <c r="G136" s="1" t="s">
        <v>469</v>
      </c>
      <c r="H136" s="1" t="s">
        <v>470</v>
      </c>
      <c r="I136" s="1">
        <f t="shared" si="20"/>
        <v>1</v>
      </c>
      <c r="J136" s="1">
        <f t="shared" si="21"/>
        <v>0</v>
      </c>
      <c r="K136" s="1">
        <f t="shared" si="22"/>
        <v>0</v>
      </c>
      <c r="L136" s="1">
        <f t="shared" si="23"/>
        <v>0</v>
      </c>
      <c r="M136" s="1">
        <f t="shared" si="24"/>
        <v>1</v>
      </c>
      <c r="P136" t="str">
        <f>IF(OR(ISNUMBER(SEARCH("全马",A136)),ISNUMBER(SEARCH("42",A136)),ISNUMBER(SEARCH("破三",A136)),ISNUMBER(SEARCH("330",A136)),ISNUMBER(SEARCH("破四",A136)),ISNUMBER(SEARCH("430",A136))),"全马",
 IF(OR(ISNUMBER(SEARCH("半马",A136)),ISNUMBER(SEARCH("21",A136)),ISNUMBER(SEARCH("145",A136)),ISNUMBER(SEARCH("200",A136)),ISNUMBER(SEARCH("130",A136))),"半马",
 "未明确"))</f>
        <v>未明确</v>
      </c>
    </row>
    <row r="137" spans="1:16" x14ac:dyDescent="0.2">
      <c r="A137" s="1" t="s">
        <v>471</v>
      </c>
      <c r="B137" s="2">
        <v>46096</v>
      </c>
      <c r="C137" s="3" t="s">
        <v>110</v>
      </c>
      <c r="D137" s="1">
        <v>198</v>
      </c>
      <c r="E137" s="1">
        <v>45</v>
      </c>
      <c r="F137" s="1">
        <v>14</v>
      </c>
      <c r="G137" s="1" t="s">
        <v>472</v>
      </c>
      <c r="H137" s="1" t="s">
        <v>473</v>
      </c>
      <c r="I137" s="1">
        <f t="shared" si="20"/>
        <v>0</v>
      </c>
      <c r="J137" s="1">
        <f t="shared" si="21"/>
        <v>1</v>
      </c>
      <c r="K137" s="1">
        <f t="shared" si="22"/>
        <v>0</v>
      </c>
      <c r="L137" s="1">
        <f t="shared" si="23"/>
        <v>0</v>
      </c>
      <c r="M137" s="1">
        <f t="shared" si="24"/>
        <v>1</v>
      </c>
      <c r="P137" t="str">
        <f>IF(OR(ISNUMBER(SEARCH("全马",A137)),ISNUMBER(SEARCH("42",A137)),ISNUMBER(SEARCH("破三",A137)),ISNUMBER(SEARCH("330",A137)),ISNUMBER(SEARCH("破四",A137)),ISNUMBER(SEARCH("430",A137))),"全马",
 IF(OR(ISNUMBER(SEARCH("半马",A137)),ISNUMBER(SEARCH("21",A137)),ISNUMBER(SEARCH("145",A137)),ISNUMBER(SEARCH("200",A137)),ISNUMBER(SEARCH("130",A137))),"半马",
 "未明确"))</f>
        <v>未明确</v>
      </c>
    </row>
    <row r="138" spans="1:16" x14ac:dyDescent="0.2">
      <c r="A138" s="1" t="s">
        <v>474</v>
      </c>
      <c r="B138" s="2">
        <v>46093</v>
      </c>
      <c r="C138" s="3" t="s">
        <v>114</v>
      </c>
      <c r="D138" s="1">
        <v>321</v>
      </c>
      <c r="E138" s="1">
        <v>29</v>
      </c>
      <c r="F138" s="1">
        <v>18</v>
      </c>
      <c r="G138" s="1" t="s">
        <v>475</v>
      </c>
      <c r="H138" s="1" t="s">
        <v>476</v>
      </c>
      <c r="I138" s="1">
        <f t="shared" si="20"/>
        <v>1</v>
      </c>
      <c r="J138" s="1">
        <f t="shared" si="21"/>
        <v>0</v>
      </c>
      <c r="K138" s="1">
        <f t="shared" si="22"/>
        <v>0</v>
      </c>
      <c r="L138" s="1">
        <f t="shared" si="23"/>
        <v>0</v>
      </c>
      <c r="M138" s="1">
        <f t="shared" si="24"/>
        <v>1</v>
      </c>
      <c r="P138" t="str">
        <f>IF(OR(ISNUMBER(SEARCH("全马",A138)),ISNUMBER(SEARCH("42",A138)),ISNUMBER(SEARCH("破三",A138)),ISNUMBER(SEARCH("330",A138)),ISNUMBER(SEARCH("破四",A138)),ISNUMBER(SEARCH("430",A138))),"全马",
 IF(OR(ISNUMBER(SEARCH("半马",A138)),ISNUMBER(SEARCH("21",A138)),ISNUMBER(SEARCH("145",A138)),ISNUMBER(SEARCH("200",A138)),ISNUMBER(SEARCH("130",A138))),"半马",
 "未明确"))</f>
        <v>半马</v>
      </c>
    </row>
    <row r="139" spans="1:16" x14ac:dyDescent="0.2">
      <c r="A139" s="1" t="s">
        <v>477</v>
      </c>
      <c r="B139" s="2">
        <v>46094</v>
      </c>
      <c r="C139" s="3" t="s">
        <v>126</v>
      </c>
      <c r="D139" s="1">
        <v>267</v>
      </c>
      <c r="E139" s="1">
        <v>38</v>
      </c>
      <c r="F139" s="1">
        <v>16</v>
      </c>
      <c r="G139" s="1" t="s">
        <v>478</v>
      </c>
      <c r="H139" s="1" t="s">
        <v>479</v>
      </c>
      <c r="I139" s="1">
        <f t="shared" si="20"/>
        <v>0</v>
      </c>
      <c r="J139" s="1">
        <f t="shared" si="21"/>
        <v>1</v>
      </c>
      <c r="K139" s="1">
        <f t="shared" si="22"/>
        <v>0</v>
      </c>
      <c r="L139" s="1">
        <f t="shared" si="23"/>
        <v>0</v>
      </c>
      <c r="M139" s="1">
        <f t="shared" si="24"/>
        <v>1</v>
      </c>
      <c r="P139" t="str">
        <f>IF(OR(ISNUMBER(SEARCH("全马",A139)),ISNUMBER(SEARCH("42",A139)),ISNUMBER(SEARCH("破三",A139)),ISNUMBER(SEARCH("330",A139)),ISNUMBER(SEARCH("破四",A139)),ISNUMBER(SEARCH("430",A139))),"全马",
 IF(OR(ISNUMBER(SEARCH("半马",A139)),ISNUMBER(SEARCH("21",A139)),ISNUMBER(SEARCH("145",A139)),ISNUMBER(SEARCH("200",A139)),ISNUMBER(SEARCH("130",A139))),"半马",
 "未明确"))</f>
        <v>未明确</v>
      </c>
    </row>
    <row r="140" spans="1:16" x14ac:dyDescent="0.2">
      <c r="A140" s="1" t="s">
        <v>483</v>
      </c>
      <c r="B140" s="2">
        <v>46092</v>
      </c>
      <c r="C140" s="3" t="s">
        <v>122</v>
      </c>
      <c r="D140" s="1">
        <v>234</v>
      </c>
      <c r="E140" s="1">
        <v>31</v>
      </c>
      <c r="F140" s="1">
        <v>14</v>
      </c>
      <c r="G140" s="1" t="s">
        <v>484</v>
      </c>
      <c r="H140" s="1" t="s">
        <v>485</v>
      </c>
      <c r="I140" s="1">
        <f t="shared" si="20"/>
        <v>1</v>
      </c>
      <c r="J140" s="1">
        <f t="shared" si="21"/>
        <v>0</v>
      </c>
      <c r="K140" s="1">
        <f t="shared" si="22"/>
        <v>0</v>
      </c>
      <c r="L140" s="1">
        <f t="shared" si="23"/>
        <v>0</v>
      </c>
      <c r="M140" s="1">
        <f t="shared" si="24"/>
        <v>1</v>
      </c>
      <c r="P140" t="str">
        <f>IF(OR(ISNUMBER(SEARCH("全马",A140)),ISNUMBER(SEARCH("42",A140)),ISNUMBER(SEARCH("破三",A140)),ISNUMBER(SEARCH("330",A140)),ISNUMBER(SEARCH("破四",A140)),ISNUMBER(SEARCH("430",A140))),"全马",
 IF(OR(ISNUMBER(SEARCH("半马",A140)),ISNUMBER(SEARCH("21",A140)),ISNUMBER(SEARCH("145",A140)),ISNUMBER(SEARCH("200",A140)),ISNUMBER(SEARCH("130",A140))),"半马",
 "未明确"))</f>
        <v>未明确</v>
      </c>
    </row>
    <row r="141" spans="1:16" x14ac:dyDescent="0.2">
      <c r="A141" s="1" t="s">
        <v>486</v>
      </c>
      <c r="B141" s="2">
        <v>46096</v>
      </c>
      <c r="C141" s="3" t="s">
        <v>130</v>
      </c>
      <c r="D141" s="1">
        <v>378</v>
      </c>
      <c r="E141" s="1">
        <v>34</v>
      </c>
      <c r="F141" s="1">
        <v>22</v>
      </c>
      <c r="G141" s="1" t="s">
        <v>487</v>
      </c>
      <c r="H141" s="1" t="s">
        <v>488</v>
      </c>
      <c r="I141" s="1">
        <f t="shared" si="20"/>
        <v>0</v>
      </c>
      <c r="J141" s="1">
        <f t="shared" si="21"/>
        <v>1</v>
      </c>
      <c r="K141" s="1">
        <f t="shared" si="22"/>
        <v>0</v>
      </c>
      <c r="L141" s="1">
        <f t="shared" si="23"/>
        <v>0</v>
      </c>
      <c r="M141" s="1">
        <f t="shared" si="24"/>
        <v>1</v>
      </c>
      <c r="P141" t="str">
        <f>IF(OR(ISNUMBER(SEARCH("全马",A141)),ISNUMBER(SEARCH("42",A141)),ISNUMBER(SEARCH("破三",A141)),ISNUMBER(SEARCH("330",A141)),ISNUMBER(SEARCH("破四",A141)),ISNUMBER(SEARCH("430",A141))),"全马",
 IF(OR(ISNUMBER(SEARCH("半马",A141)),ISNUMBER(SEARCH("21",A141)),ISNUMBER(SEARCH("145",A141)),ISNUMBER(SEARCH("200",A141)),ISNUMBER(SEARCH("130",A141))),"半马",
 "未明确"))</f>
        <v>未明确</v>
      </c>
    </row>
    <row r="142" spans="1:16" x14ac:dyDescent="0.2">
      <c r="A142" s="1" t="s">
        <v>489</v>
      </c>
      <c r="B142" s="2">
        <v>46094</v>
      </c>
      <c r="C142" s="3" t="s">
        <v>134</v>
      </c>
      <c r="D142" s="1">
        <v>412</v>
      </c>
      <c r="E142" s="1">
        <v>48</v>
      </c>
      <c r="F142" s="1">
        <v>31</v>
      </c>
      <c r="G142" s="1" t="s">
        <v>490</v>
      </c>
      <c r="H142" s="1" t="s">
        <v>491</v>
      </c>
      <c r="I142" s="1">
        <f t="shared" si="20"/>
        <v>1</v>
      </c>
      <c r="J142" s="1">
        <f t="shared" si="21"/>
        <v>0</v>
      </c>
      <c r="K142" s="1">
        <f t="shared" si="22"/>
        <v>0</v>
      </c>
      <c r="L142" s="1">
        <f t="shared" si="23"/>
        <v>0</v>
      </c>
      <c r="M142" s="1">
        <f t="shared" si="24"/>
        <v>1</v>
      </c>
      <c r="P142" t="str">
        <f>IF(OR(ISNUMBER(SEARCH("全马",A142)),ISNUMBER(SEARCH("42",A142)),ISNUMBER(SEARCH("破三",A142)),ISNUMBER(SEARCH("330",A142)),ISNUMBER(SEARCH("破四",A142)),ISNUMBER(SEARCH("430",A142))),"全马",
 IF(OR(ISNUMBER(SEARCH("半马",A142)),ISNUMBER(SEARCH("21",A142)),ISNUMBER(SEARCH("145",A142)),ISNUMBER(SEARCH("200",A142)),ISNUMBER(SEARCH("130",A142))),"半马",
 "未明确"))</f>
        <v>半马</v>
      </c>
    </row>
    <row r="143" spans="1:16" x14ac:dyDescent="0.2">
      <c r="A143" s="1" t="s">
        <v>492</v>
      </c>
      <c r="B143" s="2">
        <v>46093</v>
      </c>
      <c r="C143" s="3" t="s">
        <v>138</v>
      </c>
      <c r="D143" s="1">
        <v>289</v>
      </c>
      <c r="E143" s="1">
        <v>67</v>
      </c>
      <c r="F143" s="1">
        <v>24</v>
      </c>
      <c r="G143" s="1" t="s">
        <v>493</v>
      </c>
      <c r="H143" s="1" t="s">
        <v>494</v>
      </c>
      <c r="I143" s="1">
        <f t="shared" si="20"/>
        <v>0</v>
      </c>
      <c r="J143" s="1">
        <f t="shared" si="21"/>
        <v>1</v>
      </c>
      <c r="K143" s="1">
        <f t="shared" si="22"/>
        <v>0</v>
      </c>
      <c r="L143" s="1">
        <f t="shared" si="23"/>
        <v>0</v>
      </c>
      <c r="M143" s="1">
        <f t="shared" si="24"/>
        <v>1</v>
      </c>
      <c r="P143" t="str">
        <f>IF(OR(ISNUMBER(SEARCH("全马",A143)),ISNUMBER(SEARCH("42",A143)),ISNUMBER(SEARCH("破三",A143)),ISNUMBER(SEARCH("330",A143)),ISNUMBER(SEARCH("破四",A143)),ISNUMBER(SEARCH("430",A143))),"全马",
 IF(OR(ISNUMBER(SEARCH("半马",A143)),ISNUMBER(SEARCH("21",A143)),ISNUMBER(SEARCH("145",A143)),ISNUMBER(SEARCH("200",A143)),ISNUMBER(SEARCH("130",A143))),"半马",
 "未明确"))</f>
        <v>未明确</v>
      </c>
    </row>
    <row r="144" spans="1:16" x14ac:dyDescent="0.2">
      <c r="A144" s="1" t="s">
        <v>495</v>
      </c>
      <c r="B144" s="2">
        <v>46095</v>
      </c>
      <c r="C144" s="3" t="s">
        <v>142</v>
      </c>
      <c r="D144" s="1">
        <v>345</v>
      </c>
      <c r="E144" s="1">
        <v>37</v>
      </c>
      <c r="F144" s="1">
        <v>21</v>
      </c>
      <c r="G144" s="1" t="s">
        <v>496</v>
      </c>
      <c r="H144" s="1" t="s">
        <v>497</v>
      </c>
      <c r="I144" s="1">
        <f t="shared" si="20"/>
        <v>1</v>
      </c>
      <c r="J144" s="1">
        <f t="shared" si="21"/>
        <v>0</v>
      </c>
      <c r="K144" s="1">
        <f t="shared" si="22"/>
        <v>0</v>
      </c>
      <c r="L144" s="1">
        <f t="shared" si="23"/>
        <v>0</v>
      </c>
      <c r="M144" s="1">
        <f t="shared" si="24"/>
        <v>1</v>
      </c>
      <c r="P144" t="str">
        <f>IF(OR(ISNUMBER(SEARCH("全马",A144)),ISNUMBER(SEARCH("42",A144)),ISNUMBER(SEARCH("破三",A144)),ISNUMBER(SEARCH("330",A144)),ISNUMBER(SEARCH("破四",A144)),ISNUMBER(SEARCH("430",A144))),"全马",
 IF(OR(ISNUMBER(SEARCH("半马",A144)),ISNUMBER(SEARCH("21",A144)),ISNUMBER(SEARCH("145",A144)),ISNUMBER(SEARCH("200",A144)),ISNUMBER(SEARCH("130",A144))),"半马",
 "未明确"))</f>
        <v>半马</v>
      </c>
    </row>
    <row r="145" spans="1:16" x14ac:dyDescent="0.2">
      <c r="A145" s="1" t="s">
        <v>501</v>
      </c>
      <c r="B145" s="2">
        <v>46096</v>
      </c>
      <c r="C145" s="3" t="s">
        <v>150</v>
      </c>
      <c r="D145" s="1">
        <v>234</v>
      </c>
      <c r="E145" s="1">
        <v>42</v>
      </c>
      <c r="F145" s="1">
        <v>13</v>
      </c>
      <c r="G145" s="1" t="s">
        <v>502</v>
      </c>
      <c r="H145" s="1" t="s">
        <v>503</v>
      </c>
      <c r="I145" s="1">
        <f t="shared" si="20"/>
        <v>0</v>
      </c>
      <c r="J145" s="1">
        <f t="shared" si="21"/>
        <v>1</v>
      </c>
      <c r="K145" s="1">
        <f t="shared" si="22"/>
        <v>0</v>
      </c>
      <c r="L145" s="1">
        <f t="shared" si="23"/>
        <v>0</v>
      </c>
      <c r="M145" s="1">
        <f t="shared" si="24"/>
        <v>1</v>
      </c>
      <c r="P145" t="str">
        <f>IF(OR(ISNUMBER(SEARCH("全马",A145)),ISNUMBER(SEARCH("42",A145)),ISNUMBER(SEARCH("破三",A145)),ISNUMBER(SEARCH("330",A145)),ISNUMBER(SEARCH("破四",A145)),ISNUMBER(SEARCH("430",A145))),"全马",
 IF(OR(ISNUMBER(SEARCH("半马",A145)),ISNUMBER(SEARCH("21",A145)),ISNUMBER(SEARCH("145",A145)),ISNUMBER(SEARCH("200",A145)),ISNUMBER(SEARCH("130",A145))),"半马",
 "未明确"))</f>
        <v>未明确</v>
      </c>
    </row>
    <row r="146" spans="1:16" x14ac:dyDescent="0.2">
      <c r="A146" s="1" t="s">
        <v>504</v>
      </c>
      <c r="B146" s="2">
        <v>46092</v>
      </c>
      <c r="C146" s="3" t="s">
        <v>154</v>
      </c>
      <c r="D146" s="1">
        <v>278</v>
      </c>
      <c r="E146" s="1">
        <v>58</v>
      </c>
      <c r="F146" s="1">
        <v>19</v>
      </c>
      <c r="G146" s="1" t="s">
        <v>505</v>
      </c>
      <c r="H146" s="1" t="s">
        <v>506</v>
      </c>
      <c r="I146" s="1">
        <f t="shared" si="20"/>
        <v>1</v>
      </c>
      <c r="J146" s="1">
        <f t="shared" si="21"/>
        <v>0</v>
      </c>
      <c r="K146" s="1">
        <f t="shared" si="22"/>
        <v>0</v>
      </c>
      <c r="L146" s="1">
        <f t="shared" si="23"/>
        <v>0</v>
      </c>
      <c r="M146" s="1">
        <f t="shared" si="24"/>
        <v>1</v>
      </c>
      <c r="P146" t="str">
        <f>IF(OR(ISNUMBER(SEARCH("全马",A146)),ISNUMBER(SEARCH("42",A146)),ISNUMBER(SEARCH("破三",A146)),ISNUMBER(SEARCH("330",A146)),ISNUMBER(SEARCH("破四",A146)),ISNUMBER(SEARCH("430",A146))),"全马",
 IF(OR(ISNUMBER(SEARCH("半马",A146)),ISNUMBER(SEARCH("21",A146)),ISNUMBER(SEARCH("145",A146)),ISNUMBER(SEARCH("200",A146)),ISNUMBER(SEARCH("130",A146))),"半马",
 "未明确"))</f>
        <v>未明确</v>
      </c>
    </row>
    <row r="147" spans="1:16" x14ac:dyDescent="0.2">
      <c r="A147" s="1" t="s">
        <v>510</v>
      </c>
      <c r="B147" s="2">
        <v>46095</v>
      </c>
      <c r="C147" s="3" t="s">
        <v>162</v>
      </c>
      <c r="D147" s="1">
        <v>323</v>
      </c>
      <c r="E147" s="1">
        <v>31</v>
      </c>
      <c r="F147" s="1">
        <v>19</v>
      </c>
      <c r="G147" s="1" t="s">
        <v>511</v>
      </c>
      <c r="H147" s="1" t="s">
        <v>512</v>
      </c>
      <c r="I147" s="1">
        <f t="shared" si="20"/>
        <v>0</v>
      </c>
      <c r="J147" s="1">
        <f t="shared" si="21"/>
        <v>1</v>
      </c>
      <c r="K147" s="1">
        <f t="shared" si="22"/>
        <v>0</v>
      </c>
      <c r="L147" s="1">
        <f t="shared" si="23"/>
        <v>0</v>
      </c>
      <c r="M147" s="1">
        <f t="shared" si="24"/>
        <v>1</v>
      </c>
      <c r="P147" t="str">
        <f>IF(OR(ISNUMBER(SEARCH("全马",A147)),ISNUMBER(SEARCH("42",A147)),ISNUMBER(SEARCH("破三",A147)),ISNUMBER(SEARCH("330",A147)),ISNUMBER(SEARCH("破四",A147)),ISNUMBER(SEARCH("430",A147))),"全马",
 IF(OR(ISNUMBER(SEARCH("半马",A147)),ISNUMBER(SEARCH("21",A147)),ISNUMBER(SEARCH("145",A147)),ISNUMBER(SEARCH("200",A147)),ISNUMBER(SEARCH("130",A147))),"半马",
 "未明确"))</f>
        <v>未明确</v>
      </c>
    </row>
    <row r="148" spans="1:16" x14ac:dyDescent="0.2">
      <c r="A148" s="1" t="s">
        <v>516</v>
      </c>
      <c r="B148" s="2">
        <v>46096</v>
      </c>
      <c r="C148" s="3" t="s">
        <v>170</v>
      </c>
      <c r="D148" s="1">
        <v>534</v>
      </c>
      <c r="E148" s="1">
        <v>56</v>
      </c>
      <c r="F148" s="1">
        <v>42</v>
      </c>
      <c r="G148" s="1" t="s">
        <v>517</v>
      </c>
      <c r="H148" s="1" t="s">
        <v>518</v>
      </c>
      <c r="I148" s="1">
        <f t="shared" si="20"/>
        <v>0</v>
      </c>
      <c r="J148" s="1">
        <f t="shared" si="21"/>
        <v>1</v>
      </c>
      <c r="K148" s="1">
        <f t="shared" si="22"/>
        <v>0</v>
      </c>
      <c r="L148" s="1">
        <f t="shared" si="23"/>
        <v>0</v>
      </c>
      <c r="M148" s="1">
        <f t="shared" si="24"/>
        <v>1</v>
      </c>
      <c r="P148" t="str">
        <f>IF(OR(ISNUMBER(SEARCH("全马",A148)),ISNUMBER(SEARCH("42",A148)),ISNUMBER(SEARCH("破三",A148)),ISNUMBER(SEARCH("330",A148)),ISNUMBER(SEARCH("破四",A148)),ISNUMBER(SEARCH("430",A148))),"全马",
 IF(OR(ISNUMBER(SEARCH("半马",A148)),ISNUMBER(SEARCH("21",A148)),ISNUMBER(SEARCH("145",A148)),ISNUMBER(SEARCH("200",A148)),ISNUMBER(SEARCH("130",A148))),"半马",
 "未明确"))</f>
        <v>全马</v>
      </c>
    </row>
    <row r="149" spans="1:16" x14ac:dyDescent="0.2">
      <c r="A149" s="1" t="s">
        <v>519</v>
      </c>
      <c r="B149" s="2">
        <v>46091</v>
      </c>
      <c r="C149" s="3" t="s">
        <v>174</v>
      </c>
      <c r="D149" s="1">
        <v>278</v>
      </c>
      <c r="E149" s="1">
        <v>29</v>
      </c>
      <c r="F149" s="1">
        <v>15</v>
      </c>
      <c r="G149" s="1" t="s">
        <v>520</v>
      </c>
      <c r="H149" s="1" t="s">
        <v>521</v>
      </c>
      <c r="I149" s="1">
        <f t="shared" si="20"/>
        <v>0</v>
      </c>
      <c r="J149" s="1">
        <f t="shared" si="21"/>
        <v>1</v>
      </c>
      <c r="K149" s="1">
        <f t="shared" si="22"/>
        <v>0</v>
      </c>
      <c r="L149" s="1">
        <f t="shared" si="23"/>
        <v>0</v>
      </c>
      <c r="M149" s="1">
        <f t="shared" si="24"/>
        <v>1</v>
      </c>
      <c r="P149" t="str">
        <f>IF(OR(ISNUMBER(SEARCH("全马",A149)),ISNUMBER(SEARCH("42",A149)),ISNUMBER(SEARCH("破三",A149)),ISNUMBER(SEARCH("330",A149)),ISNUMBER(SEARCH("破四",A149)),ISNUMBER(SEARCH("430",A149))),"全马",
 IF(OR(ISNUMBER(SEARCH("半马",A149)),ISNUMBER(SEARCH("21",A149)),ISNUMBER(SEARCH("145",A149)),ISNUMBER(SEARCH("200",A149)),ISNUMBER(SEARCH("130",A149))),"半马",
 "未明确"))</f>
        <v>未明确</v>
      </c>
    </row>
    <row r="150" spans="1:16" x14ac:dyDescent="0.2">
      <c r="A150" s="1" t="s">
        <v>522</v>
      </c>
      <c r="B150" s="2">
        <v>46094</v>
      </c>
      <c r="C150" s="3" t="s">
        <v>178</v>
      </c>
      <c r="D150" s="1">
        <v>312</v>
      </c>
      <c r="E150" s="1">
        <v>48</v>
      </c>
      <c r="F150" s="1">
        <v>21</v>
      </c>
      <c r="G150" s="1" t="s">
        <v>523</v>
      </c>
      <c r="H150" s="1" t="s">
        <v>524</v>
      </c>
      <c r="I150" s="1">
        <f t="shared" si="20"/>
        <v>1</v>
      </c>
      <c r="J150" s="1">
        <f t="shared" si="21"/>
        <v>0</v>
      </c>
      <c r="K150" s="1">
        <f t="shared" si="22"/>
        <v>0</v>
      </c>
      <c r="L150" s="1">
        <f t="shared" si="23"/>
        <v>0</v>
      </c>
      <c r="M150" s="1">
        <f t="shared" si="24"/>
        <v>1</v>
      </c>
      <c r="P150" t="str">
        <f>IF(OR(ISNUMBER(SEARCH("全马",A150)),ISNUMBER(SEARCH("42",A150)),ISNUMBER(SEARCH("破三",A150)),ISNUMBER(SEARCH("330",A150)),ISNUMBER(SEARCH("破四",A150)),ISNUMBER(SEARCH("430",A150))),"全马",
 IF(OR(ISNUMBER(SEARCH("半马",A150)),ISNUMBER(SEARCH("21",A150)),ISNUMBER(SEARCH("145",A150)),ISNUMBER(SEARCH("200",A150)),ISNUMBER(SEARCH("130",A150))),"半马",
 "未明确"))</f>
        <v>未明确</v>
      </c>
    </row>
    <row r="151" spans="1:16" x14ac:dyDescent="0.2">
      <c r="A151" s="1" t="s">
        <v>528</v>
      </c>
      <c r="B151" s="2">
        <v>46092</v>
      </c>
      <c r="C151" s="3" t="s">
        <v>186</v>
      </c>
      <c r="D151" s="1">
        <v>298</v>
      </c>
      <c r="E151" s="1">
        <v>26</v>
      </c>
      <c r="F151" s="1">
        <v>16</v>
      </c>
      <c r="G151" s="1" t="s">
        <v>529</v>
      </c>
      <c r="H151" s="1" t="s">
        <v>530</v>
      </c>
      <c r="I151" s="1">
        <f t="shared" si="20"/>
        <v>0</v>
      </c>
      <c r="J151" s="1">
        <f t="shared" si="21"/>
        <v>1</v>
      </c>
      <c r="K151" s="1">
        <f t="shared" si="22"/>
        <v>0</v>
      </c>
      <c r="L151" s="1">
        <f t="shared" si="23"/>
        <v>0</v>
      </c>
      <c r="M151" s="1">
        <f t="shared" si="24"/>
        <v>1</v>
      </c>
      <c r="P151" t="str">
        <f>IF(OR(ISNUMBER(SEARCH("全马",A151)),ISNUMBER(SEARCH("42",A151)),ISNUMBER(SEARCH("破三",A151)),ISNUMBER(SEARCH("330",A151)),ISNUMBER(SEARCH("破四",A151)),ISNUMBER(SEARCH("430",A151))),"全马",
 IF(OR(ISNUMBER(SEARCH("半马",A151)),ISNUMBER(SEARCH("21",A151)),ISNUMBER(SEARCH("145",A151)),ISNUMBER(SEARCH("200",A151)),ISNUMBER(SEARCH("130",A151))),"半马",
 "未明确"))</f>
        <v>未明确</v>
      </c>
    </row>
    <row r="152" spans="1:16" x14ac:dyDescent="0.2">
      <c r="A152" s="1" t="s">
        <v>531</v>
      </c>
      <c r="B152" s="2">
        <v>46096</v>
      </c>
      <c r="C152" s="3" t="s">
        <v>190</v>
      </c>
      <c r="D152" s="1">
        <v>234</v>
      </c>
      <c r="E152" s="1">
        <v>34</v>
      </c>
      <c r="F152" s="1">
        <v>14</v>
      </c>
      <c r="G152" s="1" t="s">
        <v>532</v>
      </c>
      <c r="H152" s="1" t="s">
        <v>533</v>
      </c>
      <c r="I152" s="1">
        <f t="shared" si="20"/>
        <v>1</v>
      </c>
      <c r="J152" s="1">
        <f t="shared" si="21"/>
        <v>0</v>
      </c>
      <c r="K152" s="1">
        <f t="shared" si="22"/>
        <v>0</v>
      </c>
      <c r="L152" s="1">
        <f t="shared" si="23"/>
        <v>0</v>
      </c>
      <c r="M152" s="1">
        <f t="shared" si="24"/>
        <v>1</v>
      </c>
      <c r="P152" t="str">
        <f>IF(OR(ISNUMBER(SEARCH("全马",A152)),ISNUMBER(SEARCH("42",A152)),ISNUMBER(SEARCH("破三",A152)),ISNUMBER(SEARCH("330",A152)),ISNUMBER(SEARCH("破四",A152)),ISNUMBER(SEARCH("430",A152))),"全马",
 IF(OR(ISNUMBER(SEARCH("半马",A152)),ISNUMBER(SEARCH("21",A152)),ISNUMBER(SEARCH("145",A152)),ISNUMBER(SEARCH("200",A152)),ISNUMBER(SEARCH("130",A152))),"半马",
 "未明确"))</f>
        <v>未明确</v>
      </c>
    </row>
    <row r="153" spans="1:16" x14ac:dyDescent="0.2">
      <c r="A153" s="1" t="s">
        <v>534</v>
      </c>
      <c r="B153" s="2">
        <v>46093</v>
      </c>
      <c r="C153" s="3" t="s">
        <v>194</v>
      </c>
      <c r="D153" s="1">
        <v>367</v>
      </c>
      <c r="E153" s="1">
        <v>31</v>
      </c>
      <c r="F153" s="1">
        <v>20</v>
      </c>
      <c r="G153" s="1" t="s">
        <v>535</v>
      </c>
      <c r="H153" s="1" t="s">
        <v>536</v>
      </c>
      <c r="I153" s="1">
        <f t="shared" si="20"/>
        <v>0</v>
      </c>
      <c r="J153" s="1">
        <f t="shared" si="21"/>
        <v>1</v>
      </c>
      <c r="K153" s="1">
        <f t="shared" si="22"/>
        <v>0</v>
      </c>
      <c r="L153" s="1">
        <f t="shared" si="23"/>
        <v>0</v>
      </c>
      <c r="M153" s="1">
        <f t="shared" si="24"/>
        <v>1</v>
      </c>
      <c r="P153" t="str">
        <f>IF(OR(ISNUMBER(SEARCH("全马",A153)),ISNUMBER(SEARCH("42",A153)),ISNUMBER(SEARCH("破三",A153)),ISNUMBER(SEARCH("330",A153)),ISNUMBER(SEARCH("破四",A153)),ISNUMBER(SEARCH("430",A153))),"全马",
 IF(OR(ISNUMBER(SEARCH("半马",A153)),ISNUMBER(SEARCH("21",A153)),ISNUMBER(SEARCH("145",A153)),ISNUMBER(SEARCH("200",A153)),ISNUMBER(SEARCH("130",A153))),"半马",
 "未明确"))</f>
        <v>全马</v>
      </c>
    </row>
    <row r="154" spans="1:16" x14ac:dyDescent="0.2">
      <c r="A154" s="1" t="s">
        <v>546</v>
      </c>
      <c r="B154" s="2">
        <v>46096</v>
      </c>
      <c r="C154" s="3" t="s">
        <v>210</v>
      </c>
      <c r="D154" s="1">
        <v>423</v>
      </c>
      <c r="E154" s="1">
        <v>31</v>
      </c>
      <c r="F154" s="1">
        <v>22</v>
      </c>
      <c r="G154" s="1" t="s">
        <v>547</v>
      </c>
      <c r="H154" s="1" t="s">
        <v>548</v>
      </c>
      <c r="I154" s="1">
        <f t="shared" si="20"/>
        <v>1</v>
      </c>
      <c r="J154" s="1">
        <f t="shared" si="21"/>
        <v>0</v>
      </c>
      <c r="K154" s="1">
        <f t="shared" si="22"/>
        <v>0</v>
      </c>
      <c r="L154" s="1">
        <f t="shared" si="23"/>
        <v>0</v>
      </c>
      <c r="M154" s="1">
        <f t="shared" si="24"/>
        <v>1</v>
      </c>
      <c r="P154" t="str">
        <f>IF(OR(ISNUMBER(SEARCH("全马",A154)),ISNUMBER(SEARCH("42",A154)),ISNUMBER(SEARCH("破三",A154)),ISNUMBER(SEARCH("330",A154)),ISNUMBER(SEARCH("破四",A154)),ISNUMBER(SEARCH("430",A154))),"全马",
 IF(OR(ISNUMBER(SEARCH("半马",A154)),ISNUMBER(SEARCH("21",A154)),ISNUMBER(SEARCH("145",A154)),ISNUMBER(SEARCH("200",A154)),ISNUMBER(SEARCH("130",A154))),"半马",
 "未明确"))</f>
        <v>未明确</v>
      </c>
    </row>
    <row r="155" spans="1:16" x14ac:dyDescent="0.2">
      <c r="A155" s="1" t="s">
        <v>549</v>
      </c>
      <c r="B155" s="2">
        <v>46097</v>
      </c>
      <c r="C155" s="1" t="s">
        <v>14</v>
      </c>
      <c r="D155" s="1">
        <v>289</v>
      </c>
      <c r="E155" s="1">
        <v>31</v>
      </c>
      <c r="F155" s="1">
        <v>16</v>
      </c>
      <c r="G155" s="1" t="s">
        <v>550</v>
      </c>
      <c r="H155" s="1" t="s">
        <v>551</v>
      </c>
      <c r="I155" s="1">
        <f t="shared" si="20"/>
        <v>0</v>
      </c>
      <c r="J155" s="1">
        <f t="shared" si="21"/>
        <v>1</v>
      </c>
      <c r="K155" s="1">
        <f t="shared" si="22"/>
        <v>0</v>
      </c>
      <c r="L155" s="1">
        <f t="shared" si="23"/>
        <v>0</v>
      </c>
      <c r="M155" s="1">
        <f t="shared" si="24"/>
        <v>1</v>
      </c>
      <c r="P155" t="str">
        <f>IF(OR(ISNUMBER(SEARCH("全马",A155)),ISNUMBER(SEARCH("42",A155)),ISNUMBER(SEARCH("破三",A155)),ISNUMBER(SEARCH("330",A155)),ISNUMBER(SEARCH("破四",A155)),ISNUMBER(SEARCH("430",A155))),"全马",
 IF(OR(ISNUMBER(SEARCH("半马",A155)),ISNUMBER(SEARCH("21",A155)),ISNUMBER(SEARCH("145",A155)),ISNUMBER(SEARCH("200",A155)),ISNUMBER(SEARCH("130",A155))),"半马",
 "未明确"))</f>
        <v>未明确</v>
      </c>
    </row>
    <row r="156" spans="1:16" x14ac:dyDescent="0.2">
      <c r="A156" s="1" t="s">
        <v>555</v>
      </c>
      <c r="B156" s="2">
        <v>46096</v>
      </c>
      <c r="C156" s="1" t="s">
        <v>22</v>
      </c>
      <c r="D156" s="1">
        <v>412</v>
      </c>
      <c r="E156" s="1">
        <v>103</v>
      </c>
      <c r="F156" s="1">
        <v>38</v>
      </c>
      <c r="G156" s="1" t="s">
        <v>556</v>
      </c>
      <c r="H156" s="1" t="s">
        <v>557</v>
      </c>
      <c r="I156" s="1">
        <f t="shared" si="20"/>
        <v>0</v>
      </c>
      <c r="J156" s="1">
        <f t="shared" si="21"/>
        <v>1</v>
      </c>
      <c r="K156" s="1">
        <f t="shared" si="22"/>
        <v>0</v>
      </c>
      <c r="L156" s="1">
        <f t="shared" si="23"/>
        <v>0</v>
      </c>
      <c r="M156" s="1">
        <f t="shared" si="24"/>
        <v>1</v>
      </c>
      <c r="P156" t="str">
        <f>IF(OR(ISNUMBER(SEARCH("全马",A156)),ISNUMBER(SEARCH("42",A156)),ISNUMBER(SEARCH("破三",A156)),ISNUMBER(SEARCH("330",A156)),ISNUMBER(SEARCH("破四",A156)),ISNUMBER(SEARCH("430",A156))),"全马",
 IF(OR(ISNUMBER(SEARCH("半马",A156)),ISNUMBER(SEARCH("21",A156)),ISNUMBER(SEARCH("145",A156)),ISNUMBER(SEARCH("200",A156)),ISNUMBER(SEARCH("130",A156))),"半马",
 "未明确"))</f>
        <v>半马</v>
      </c>
    </row>
    <row r="157" spans="1:16" x14ac:dyDescent="0.2">
      <c r="A157" s="1" t="s">
        <v>558</v>
      </c>
      <c r="B157" s="2">
        <v>46099</v>
      </c>
      <c r="C157" s="1" t="s">
        <v>26</v>
      </c>
      <c r="D157" s="1">
        <v>345</v>
      </c>
      <c r="E157" s="1">
        <v>28</v>
      </c>
      <c r="F157" s="1">
        <v>18</v>
      </c>
      <c r="G157" s="1" t="s">
        <v>559</v>
      </c>
      <c r="H157" s="1" t="s">
        <v>560</v>
      </c>
      <c r="I157" s="1">
        <f t="shared" si="20"/>
        <v>1</v>
      </c>
      <c r="J157" s="1">
        <f t="shared" si="21"/>
        <v>0</v>
      </c>
      <c r="K157" s="1">
        <f t="shared" si="22"/>
        <v>0</v>
      </c>
      <c r="L157" s="1">
        <f t="shared" si="23"/>
        <v>0</v>
      </c>
      <c r="M157" s="1">
        <f t="shared" si="24"/>
        <v>1</v>
      </c>
      <c r="P157" t="str">
        <f>IF(OR(ISNUMBER(SEARCH("全马",A157)),ISNUMBER(SEARCH("42",A157)),ISNUMBER(SEARCH("破三",A157)),ISNUMBER(SEARCH("330",A157)),ISNUMBER(SEARCH("破四",A157)),ISNUMBER(SEARCH("430",A157))),"全马",
 IF(OR(ISNUMBER(SEARCH("半马",A157)),ISNUMBER(SEARCH("21",A157)),ISNUMBER(SEARCH("145",A157)),ISNUMBER(SEARCH("200",A157)),ISNUMBER(SEARCH("130",A157))),"半马",
 "未明确"))</f>
        <v>未明确</v>
      </c>
    </row>
    <row r="158" spans="1:16" x14ac:dyDescent="0.2">
      <c r="A158" s="1" t="s">
        <v>561</v>
      </c>
      <c r="B158" s="2">
        <v>46097</v>
      </c>
      <c r="C158" s="1" t="s">
        <v>30</v>
      </c>
      <c r="D158" s="1">
        <v>278</v>
      </c>
      <c r="E158" s="1">
        <v>47</v>
      </c>
      <c r="F158" s="1">
        <v>21</v>
      </c>
      <c r="G158" s="1" t="s">
        <v>562</v>
      </c>
      <c r="H158" s="1" t="s">
        <v>563</v>
      </c>
      <c r="I158" s="1">
        <f t="shared" si="20"/>
        <v>0</v>
      </c>
      <c r="J158" s="1">
        <f t="shared" si="21"/>
        <v>1</v>
      </c>
      <c r="K158" s="1">
        <f t="shared" si="22"/>
        <v>0</v>
      </c>
      <c r="L158" s="1">
        <f t="shared" si="23"/>
        <v>0</v>
      </c>
      <c r="M158" s="1">
        <f t="shared" si="24"/>
        <v>1</v>
      </c>
      <c r="P158" t="str">
        <f>IF(OR(ISNUMBER(SEARCH("全马",A158)),ISNUMBER(SEARCH("42",A158)),ISNUMBER(SEARCH("破三",A158)),ISNUMBER(SEARCH("330",A158)),ISNUMBER(SEARCH("破四",A158)),ISNUMBER(SEARCH("430",A158))),"全马",
 IF(OR(ISNUMBER(SEARCH("半马",A158)),ISNUMBER(SEARCH("21",A158)),ISNUMBER(SEARCH("145",A158)),ISNUMBER(SEARCH("200",A158)),ISNUMBER(SEARCH("130",A158))),"半马",
 "未明确"))</f>
        <v>未明确</v>
      </c>
    </row>
    <row r="159" spans="1:16" x14ac:dyDescent="0.2">
      <c r="A159" s="1" t="s">
        <v>567</v>
      </c>
      <c r="B159" s="2">
        <v>46096</v>
      </c>
      <c r="C159" s="1" t="s">
        <v>38</v>
      </c>
      <c r="D159" s="1">
        <v>345</v>
      </c>
      <c r="E159" s="1">
        <v>39</v>
      </c>
      <c r="F159" s="1">
        <v>22</v>
      </c>
      <c r="G159" s="1" t="s">
        <v>568</v>
      </c>
      <c r="H159" s="1" t="s">
        <v>569</v>
      </c>
      <c r="I159" s="1">
        <f t="shared" si="20"/>
        <v>0</v>
      </c>
      <c r="J159" s="1">
        <f t="shared" si="21"/>
        <v>1</v>
      </c>
      <c r="K159" s="1">
        <f t="shared" si="22"/>
        <v>0</v>
      </c>
      <c r="L159" s="1">
        <f t="shared" si="23"/>
        <v>0</v>
      </c>
      <c r="M159" s="1">
        <f t="shared" si="24"/>
        <v>1</v>
      </c>
      <c r="P159" t="str">
        <f>IF(OR(ISNUMBER(SEARCH("全马",A159)),ISNUMBER(SEARCH("42",A159)),ISNUMBER(SEARCH("破三",A159)),ISNUMBER(SEARCH("330",A159)),ISNUMBER(SEARCH("破四",A159)),ISNUMBER(SEARCH("430",A159))),"全马",
 IF(OR(ISNUMBER(SEARCH("半马",A159)),ISNUMBER(SEARCH("21",A159)),ISNUMBER(SEARCH("145",A159)),ISNUMBER(SEARCH("200",A159)),ISNUMBER(SEARCH("130",A159))),"半马",
 "未明确"))</f>
        <v>未明确</v>
      </c>
    </row>
    <row r="160" spans="1:16" x14ac:dyDescent="0.2">
      <c r="A160" s="1" t="s">
        <v>570</v>
      </c>
      <c r="B160" s="2">
        <v>46099</v>
      </c>
      <c r="C160" s="1" t="s">
        <v>50</v>
      </c>
      <c r="D160" s="1">
        <v>267</v>
      </c>
      <c r="E160" s="1">
        <v>43</v>
      </c>
      <c r="F160" s="1">
        <v>17</v>
      </c>
      <c r="G160" s="1" t="s">
        <v>571</v>
      </c>
      <c r="H160" s="1" t="s">
        <v>572</v>
      </c>
      <c r="I160" s="1">
        <f t="shared" si="20"/>
        <v>1</v>
      </c>
      <c r="J160" s="1">
        <f t="shared" si="21"/>
        <v>0</v>
      </c>
      <c r="K160" s="1">
        <f t="shared" si="22"/>
        <v>0</v>
      </c>
      <c r="L160" s="1">
        <f t="shared" si="23"/>
        <v>0</v>
      </c>
      <c r="M160" s="1">
        <f t="shared" si="24"/>
        <v>1</v>
      </c>
      <c r="P160" t="str">
        <f>IF(OR(ISNUMBER(SEARCH("全马",A160)),ISNUMBER(SEARCH("42",A160)),ISNUMBER(SEARCH("破三",A160)),ISNUMBER(SEARCH("330",A160)),ISNUMBER(SEARCH("破四",A160)),ISNUMBER(SEARCH("430",A160))),"全马",
 IF(OR(ISNUMBER(SEARCH("半马",A160)),ISNUMBER(SEARCH("21",A160)),ISNUMBER(SEARCH("145",A160)),ISNUMBER(SEARCH("200",A160)),ISNUMBER(SEARCH("130",A160))),"半马",
 "未明确"))</f>
        <v>未明确</v>
      </c>
    </row>
    <row r="161" spans="1:16" x14ac:dyDescent="0.2">
      <c r="A161" s="1" t="s">
        <v>573</v>
      </c>
      <c r="B161" s="2">
        <v>46097</v>
      </c>
      <c r="C161" s="1" t="s">
        <v>46</v>
      </c>
      <c r="D161" s="1">
        <v>678</v>
      </c>
      <c r="E161" s="1">
        <v>96</v>
      </c>
      <c r="F161" s="1">
        <v>59</v>
      </c>
      <c r="G161" s="1" t="s">
        <v>335</v>
      </c>
      <c r="H161" s="1" t="s">
        <v>574</v>
      </c>
      <c r="I161" s="1">
        <f t="shared" si="20"/>
        <v>1</v>
      </c>
      <c r="J161" s="1">
        <f t="shared" si="21"/>
        <v>0</v>
      </c>
      <c r="K161" s="1">
        <f t="shared" si="22"/>
        <v>0</v>
      </c>
      <c r="L161" s="1">
        <f t="shared" si="23"/>
        <v>0</v>
      </c>
      <c r="M161" s="1">
        <f t="shared" si="24"/>
        <v>1</v>
      </c>
      <c r="P161" t="str">
        <f>IF(OR(ISNUMBER(SEARCH("全马",A161)),ISNUMBER(SEARCH("42",A161)),ISNUMBER(SEARCH("破三",A161)),ISNUMBER(SEARCH("330",A161)),ISNUMBER(SEARCH("破四",A161)),ISNUMBER(SEARCH("430",A161))),"全马",
 IF(OR(ISNUMBER(SEARCH("半马",A161)),ISNUMBER(SEARCH("21",A161)),ISNUMBER(SEARCH("145",A161)),ISNUMBER(SEARCH("200",A161)),ISNUMBER(SEARCH("130",A161))),"半马",
 "未明确"))</f>
        <v>半马</v>
      </c>
    </row>
    <row r="162" spans="1:16" x14ac:dyDescent="0.2">
      <c r="A162" s="1" t="s">
        <v>575</v>
      </c>
      <c r="B162" s="2">
        <v>46098</v>
      </c>
      <c r="C162" s="1" t="s">
        <v>58</v>
      </c>
      <c r="D162" s="1">
        <v>412</v>
      </c>
      <c r="E162" s="1">
        <v>36</v>
      </c>
      <c r="F162" s="1">
        <v>25</v>
      </c>
      <c r="G162" s="1" t="s">
        <v>576</v>
      </c>
      <c r="H162" s="1" t="s">
        <v>577</v>
      </c>
      <c r="I162" s="1">
        <f t="shared" ref="I162:I195" si="25">--ISNUMBER(SEARCH("间歇",$A162))</f>
        <v>0</v>
      </c>
      <c r="J162" s="1">
        <f t="shared" ref="J162:J195" si="26">--ISNUMBER(SEARCH("LSD",$A162))</f>
        <v>1</v>
      </c>
      <c r="K162" s="1">
        <f t="shared" ref="K162:K195" si="27">--OR(ISNUMBER(SEARCH("节奏",$A162)),ISNUMBER(SEARCH("阈",$A162)))</f>
        <v>0</v>
      </c>
      <c r="L162" s="1">
        <f t="shared" ref="L162:L195" si="28">--ISNUMBER(SEARCH("力量",$A162))</f>
        <v>0</v>
      </c>
      <c r="M162" s="1">
        <f t="shared" ref="M162:M193" si="29">I162+J162+K162+L162</f>
        <v>1</v>
      </c>
      <c r="P162" t="str">
        <f>IF(OR(ISNUMBER(SEARCH("全马",A162)),ISNUMBER(SEARCH("42",A162)),ISNUMBER(SEARCH("破三",A162)),ISNUMBER(SEARCH("330",A162)),ISNUMBER(SEARCH("破四",A162)),ISNUMBER(SEARCH("430",A162))),"全马",
 IF(OR(ISNUMBER(SEARCH("半马",A162)),ISNUMBER(SEARCH("21",A162)),ISNUMBER(SEARCH("145",A162)),ISNUMBER(SEARCH("200",A162)),ISNUMBER(SEARCH("130",A162))),"半马",
 "未明确"))</f>
        <v>未明确</v>
      </c>
    </row>
    <row r="163" spans="1:16" x14ac:dyDescent="0.2">
      <c r="A163" s="1" t="s">
        <v>578</v>
      </c>
      <c r="B163" s="2">
        <v>46096</v>
      </c>
      <c r="C163" s="1" t="s">
        <v>54</v>
      </c>
      <c r="D163" s="1">
        <v>378</v>
      </c>
      <c r="E163" s="1">
        <v>52</v>
      </c>
      <c r="F163" s="1">
        <v>31</v>
      </c>
      <c r="G163" s="1" t="s">
        <v>579</v>
      </c>
      <c r="H163" s="1" t="s">
        <v>580</v>
      </c>
      <c r="I163" s="1">
        <f t="shared" si="25"/>
        <v>0</v>
      </c>
      <c r="J163" s="1">
        <f t="shared" si="26"/>
        <v>1</v>
      </c>
      <c r="K163" s="1">
        <f t="shared" si="27"/>
        <v>0</v>
      </c>
      <c r="L163" s="1">
        <f t="shared" si="28"/>
        <v>0</v>
      </c>
      <c r="M163" s="1">
        <f t="shared" si="29"/>
        <v>1</v>
      </c>
      <c r="P163" t="str">
        <f>IF(OR(ISNUMBER(SEARCH("全马",A163)),ISNUMBER(SEARCH("42",A163)),ISNUMBER(SEARCH("破三",A163)),ISNUMBER(SEARCH("330",A163)),ISNUMBER(SEARCH("破四",A163)),ISNUMBER(SEARCH("430",A163))),"全马",
 IF(OR(ISNUMBER(SEARCH("半马",A163)),ISNUMBER(SEARCH("21",A163)),ISNUMBER(SEARCH("145",A163)),ISNUMBER(SEARCH("200",A163)),ISNUMBER(SEARCH("130",A163))),"半马",
 "未明确"))</f>
        <v>全马</v>
      </c>
    </row>
    <row r="164" spans="1:16" x14ac:dyDescent="0.2">
      <c r="A164" s="1" t="s">
        <v>581</v>
      </c>
      <c r="B164" s="2">
        <v>46099</v>
      </c>
      <c r="C164" s="1" t="s">
        <v>62</v>
      </c>
      <c r="D164" s="1">
        <v>234</v>
      </c>
      <c r="E164" s="1">
        <v>51</v>
      </c>
      <c r="F164" s="1">
        <v>14</v>
      </c>
      <c r="G164" s="1" t="s">
        <v>582</v>
      </c>
      <c r="H164" s="1" t="s">
        <v>583</v>
      </c>
      <c r="I164" s="1">
        <f t="shared" si="25"/>
        <v>1</v>
      </c>
      <c r="J164" s="1">
        <f t="shared" si="26"/>
        <v>0</v>
      </c>
      <c r="K164" s="1">
        <f t="shared" si="27"/>
        <v>0</v>
      </c>
      <c r="L164" s="1">
        <f t="shared" si="28"/>
        <v>0</v>
      </c>
      <c r="M164" s="1">
        <f t="shared" si="29"/>
        <v>1</v>
      </c>
      <c r="P164" t="str">
        <f>IF(OR(ISNUMBER(SEARCH("全马",A164)),ISNUMBER(SEARCH("42",A164)),ISNUMBER(SEARCH("破三",A164)),ISNUMBER(SEARCH("330",A164)),ISNUMBER(SEARCH("破四",A164)),ISNUMBER(SEARCH("430",A164))),"全马",
 IF(OR(ISNUMBER(SEARCH("半马",A164)),ISNUMBER(SEARCH("21",A164)),ISNUMBER(SEARCH("145",A164)),ISNUMBER(SEARCH("200",A164)),ISNUMBER(SEARCH("130",A164))),"半马",
 "未明确"))</f>
        <v>未明确</v>
      </c>
    </row>
    <row r="165" spans="1:16" x14ac:dyDescent="0.2">
      <c r="A165" s="1" t="s">
        <v>584</v>
      </c>
      <c r="B165" s="2">
        <v>46097</v>
      </c>
      <c r="C165" s="1" t="s">
        <v>42</v>
      </c>
      <c r="D165" s="1">
        <v>567</v>
      </c>
      <c r="E165" s="1">
        <v>48</v>
      </c>
      <c r="F165" s="1">
        <v>39</v>
      </c>
      <c r="G165" s="1" t="s">
        <v>585</v>
      </c>
      <c r="H165" s="1" t="s">
        <v>438</v>
      </c>
      <c r="I165" s="1">
        <f t="shared" si="25"/>
        <v>0</v>
      </c>
      <c r="J165" s="1">
        <f t="shared" si="26"/>
        <v>1</v>
      </c>
      <c r="K165" s="1">
        <f t="shared" si="27"/>
        <v>0</v>
      </c>
      <c r="L165" s="1">
        <f t="shared" si="28"/>
        <v>0</v>
      </c>
      <c r="M165" s="1">
        <f t="shared" si="29"/>
        <v>1</v>
      </c>
      <c r="P165" t="str">
        <f>IF(OR(ISNUMBER(SEARCH("全马",A165)),ISNUMBER(SEARCH("42",A165)),ISNUMBER(SEARCH("破三",A165)),ISNUMBER(SEARCH("330",A165)),ISNUMBER(SEARCH("破四",A165)),ISNUMBER(SEARCH("430",A165))),"全马",
 IF(OR(ISNUMBER(SEARCH("半马",A165)),ISNUMBER(SEARCH("21",A165)),ISNUMBER(SEARCH("145",A165)),ISNUMBER(SEARCH("200",A165)),ISNUMBER(SEARCH("130",A165))),"半马",
 "未明确"))</f>
        <v>未明确</v>
      </c>
    </row>
    <row r="166" spans="1:16" x14ac:dyDescent="0.2">
      <c r="A166" s="1" t="s">
        <v>589</v>
      </c>
      <c r="B166" s="2">
        <v>46096</v>
      </c>
      <c r="C166" s="1" t="s">
        <v>70</v>
      </c>
      <c r="D166" s="1">
        <v>345</v>
      </c>
      <c r="E166" s="1">
        <v>52</v>
      </c>
      <c r="F166" s="1">
        <v>24</v>
      </c>
      <c r="G166" s="1" t="s">
        <v>590</v>
      </c>
      <c r="H166" s="1" t="s">
        <v>444</v>
      </c>
      <c r="I166" s="1">
        <f t="shared" si="25"/>
        <v>0</v>
      </c>
      <c r="J166" s="1">
        <f t="shared" si="26"/>
        <v>1</v>
      </c>
      <c r="K166" s="1">
        <f t="shared" si="27"/>
        <v>0</v>
      </c>
      <c r="L166" s="1">
        <f t="shared" si="28"/>
        <v>0</v>
      </c>
      <c r="M166" s="1">
        <f t="shared" si="29"/>
        <v>1</v>
      </c>
      <c r="P166" t="str">
        <f>IF(OR(ISNUMBER(SEARCH("全马",A166)),ISNUMBER(SEARCH("42",A166)),ISNUMBER(SEARCH("破三",A166)),ISNUMBER(SEARCH("330",A166)),ISNUMBER(SEARCH("破四",A166)),ISNUMBER(SEARCH("430",A166))),"全马",
 IF(OR(ISNUMBER(SEARCH("半马",A166)),ISNUMBER(SEARCH("21",A166)),ISNUMBER(SEARCH("145",A166)),ISNUMBER(SEARCH("200",A166)),ISNUMBER(SEARCH("130",A166))),"半马",
 "未明确"))</f>
        <v>未明确</v>
      </c>
    </row>
    <row r="167" spans="1:16" x14ac:dyDescent="0.2">
      <c r="A167" s="1" t="s">
        <v>591</v>
      </c>
      <c r="B167" s="2">
        <v>46099</v>
      </c>
      <c r="C167" s="1" t="s">
        <v>74</v>
      </c>
      <c r="D167" s="1">
        <v>289</v>
      </c>
      <c r="E167" s="1">
        <v>32</v>
      </c>
      <c r="F167" s="1">
        <v>18</v>
      </c>
      <c r="G167" s="1" t="s">
        <v>592</v>
      </c>
      <c r="H167" s="1" t="s">
        <v>593</v>
      </c>
      <c r="I167" s="1">
        <f t="shared" si="25"/>
        <v>1</v>
      </c>
      <c r="J167" s="1">
        <f t="shared" si="26"/>
        <v>0</v>
      </c>
      <c r="K167" s="1">
        <f t="shared" si="27"/>
        <v>0</v>
      </c>
      <c r="L167" s="1">
        <f t="shared" si="28"/>
        <v>0</v>
      </c>
      <c r="M167" s="1">
        <f t="shared" si="29"/>
        <v>1</v>
      </c>
      <c r="P167" t="str">
        <f>IF(OR(ISNUMBER(SEARCH("全马",A167)),ISNUMBER(SEARCH("42",A167)),ISNUMBER(SEARCH("破三",A167)),ISNUMBER(SEARCH("330",A167)),ISNUMBER(SEARCH("破四",A167)),ISNUMBER(SEARCH("430",A167))),"全马",
 IF(OR(ISNUMBER(SEARCH("半马",A167)),ISNUMBER(SEARCH("21",A167)),ISNUMBER(SEARCH("145",A167)),ISNUMBER(SEARCH("200",A167)),ISNUMBER(SEARCH("130",A167))),"半马",
 "未明确"))</f>
        <v>未明确</v>
      </c>
    </row>
    <row r="168" spans="1:16" x14ac:dyDescent="0.2">
      <c r="A168" s="1" t="s">
        <v>594</v>
      </c>
      <c r="B168" s="2">
        <v>46097</v>
      </c>
      <c r="C168" s="1" t="s">
        <v>78</v>
      </c>
      <c r="D168" s="1">
        <v>412</v>
      </c>
      <c r="E168" s="1">
        <v>37</v>
      </c>
      <c r="F168" s="1">
        <v>26</v>
      </c>
      <c r="G168" s="1" t="s">
        <v>595</v>
      </c>
      <c r="H168" s="1" t="s">
        <v>596</v>
      </c>
      <c r="I168" s="1">
        <f t="shared" si="25"/>
        <v>0</v>
      </c>
      <c r="J168" s="1">
        <f t="shared" si="26"/>
        <v>1</v>
      </c>
      <c r="K168" s="1">
        <f t="shared" si="27"/>
        <v>0</v>
      </c>
      <c r="L168" s="1">
        <f t="shared" si="28"/>
        <v>0</v>
      </c>
      <c r="M168" s="1">
        <f t="shared" si="29"/>
        <v>1</v>
      </c>
      <c r="P168" t="str">
        <f>IF(OR(ISNUMBER(SEARCH("全马",A168)),ISNUMBER(SEARCH("42",A168)),ISNUMBER(SEARCH("破三",A168)),ISNUMBER(SEARCH("330",A168)),ISNUMBER(SEARCH("破四",A168)),ISNUMBER(SEARCH("430",A168))),"全马",
 IF(OR(ISNUMBER(SEARCH("半马",A168)),ISNUMBER(SEARCH("21",A168)),ISNUMBER(SEARCH("145",A168)),ISNUMBER(SEARCH("200",A168)),ISNUMBER(SEARCH("130",A168))),"半马",
 "未明确"))</f>
        <v>全马</v>
      </c>
    </row>
    <row r="169" spans="1:16" x14ac:dyDescent="0.2">
      <c r="A169" s="1" t="s">
        <v>600</v>
      </c>
      <c r="B169" s="2">
        <v>46096</v>
      </c>
      <c r="C169" s="1" t="s">
        <v>86</v>
      </c>
      <c r="D169" s="1">
        <v>378</v>
      </c>
      <c r="E169" s="1">
        <v>51</v>
      </c>
      <c r="F169" s="1">
        <v>29</v>
      </c>
      <c r="G169" s="1" t="s">
        <v>601</v>
      </c>
      <c r="H169" s="1" t="s">
        <v>602</v>
      </c>
      <c r="I169" s="1">
        <f t="shared" si="25"/>
        <v>0</v>
      </c>
      <c r="J169" s="1">
        <f t="shared" si="26"/>
        <v>1</v>
      </c>
      <c r="K169" s="1">
        <f t="shared" si="27"/>
        <v>0</v>
      </c>
      <c r="L169" s="1">
        <f t="shared" si="28"/>
        <v>0</v>
      </c>
      <c r="M169" s="1">
        <f t="shared" si="29"/>
        <v>1</v>
      </c>
      <c r="P169" t="str">
        <f>IF(OR(ISNUMBER(SEARCH("全马",A169)),ISNUMBER(SEARCH("42",A169)),ISNUMBER(SEARCH("破三",A169)),ISNUMBER(SEARCH("330",A169)),ISNUMBER(SEARCH("破四",A169)),ISNUMBER(SEARCH("430",A169))),"全马",
 IF(OR(ISNUMBER(SEARCH("半马",A169)),ISNUMBER(SEARCH("21",A169)),ISNUMBER(SEARCH("145",A169)),ISNUMBER(SEARCH("200",A169)),ISNUMBER(SEARCH("130",A169))),"半马",
 "未明确"))</f>
        <v>未明确</v>
      </c>
    </row>
    <row r="170" spans="1:16" x14ac:dyDescent="0.2">
      <c r="A170" s="1" t="s">
        <v>603</v>
      </c>
      <c r="B170" s="2">
        <v>46099</v>
      </c>
      <c r="C170" s="1" t="s">
        <v>90</v>
      </c>
      <c r="D170" s="1">
        <v>423</v>
      </c>
      <c r="E170" s="1">
        <v>56</v>
      </c>
      <c r="F170" s="1">
        <v>34</v>
      </c>
      <c r="G170" s="1" t="s">
        <v>604</v>
      </c>
      <c r="H170" s="1" t="s">
        <v>605</v>
      </c>
      <c r="I170" s="1">
        <f t="shared" si="25"/>
        <v>1</v>
      </c>
      <c r="J170" s="1">
        <f t="shared" si="26"/>
        <v>0</v>
      </c>
      <c r="K170" s="1">
        <f t="shared" si="27"/>
        <v>0</v>
      </c>
      <c r="L170" s="1">
        <f t="shared" si="28"/>
        <v>0</v>
      </c>
      <c r="M170" s="1">
        <f t="shared" si="29"/>
        <v>1</v>
      </c>
      <c r="P170" t="str">
        <f>IF(OR(ISNUMBER(SEARCH("全马",A170)),ISNUMBER(SEARCH("42",A170)),ISNUMBER(SEARCH("破三",A170)),ISNUMBER(SEARCH("330",A170)),ISNUMBER(SEARCH("破四",A170)),ISNUMBER(SEARCH("430",A170))),"全马",
 IF(OR(ISNUMBER(SEARCH("半马",A170)),ISNUMBER(SEARCH("21",A170)),ISNUMBER(SEARCH("145",A170)),ISNUMBER(SEARCH("200",A170)),ISNUMBER(SEARCH("130",A170))),"半马",
 "未明确"))</f>
        <v>半马</v>
      </c>
    </row>
    <row r="171" spans="1:16" x14ac:dyDescent="0.2">
      <c r="A171" s="1" t="s">
        <v>606</v>
      </c>
      <c r="B171" s="2">
        <v>46097</v>
      </c>
      <c r="C171" s="1" t="s">
        <v>94</v>
      </c>
      <c r="D171" s="1">
        <v>234</v>
      </c>
      <c r="E171" s="1">
        <v>38</v>
      </c>
      <c r="F171" s="1">
        <v>13</v>
      </c>
      <c r="G171" s="1" t="s">
        <v>607</v>
      </c>
      <c r="H171" s="1" t="s">
        <v>608</v>
      </c>
      <c r="I171" s="1">
        <f t="shared" si="25"/>
        <v>0</v>
      </c>
      <c r="J171" s="1">
        <f t="shared" si="26"/>
        <v>1</v>
      </c>
      <c r="K171" s="1">
        <f t="shared" si="27"/>
        <v>0</v>
      </c>
      <c r="L171" s="1">
        <f t="shared" si="28"/>
        <v>0</v>
      </c>
      <c r="M171" s="1">
        <f t="shared" si="29"/>
        <v>1</v>
      </c>
      <c r="P171" t="str">
        <f>IF(OR(ISNUMBER(SEARCH("全马",A171)),ISNUMBER(SEARCH("42",A171)),ISNUMBER(SEARCH("破三",A171)),ISNUMBER(SEARCH("330",A171)),ISNUMBER(SEARCH("破四",A171)),ISNUMBER(SEARCH("430",A171))),"全马",
 IF(OR(ISNUMBER(SEARCH("半马",A171)),ISNUMBER(SEARCH("21",A171)),ISNUMBER(SEARCH("145",A171)),ISNUMBER(SEARCH("200",A171)),ISNUMBER(SEARCH("130",A171))),"半马",
 "未明确"))</f>
        <v>未明确</v>
      </c>
    </row>
    <row r="172" spans="1:16" x14ac:dyDescent="0.2">
      <c r="A172" s="1" t="s">
        <v>609</v>
      </c>
      <c r="B172" s="2">
        <v>46098</v>
      </c>
      <c r="C172" s="1" t="s">
        <v>98</v>
      </c>
      <c r="D172" s="1">
        <v>356</v>
      </c>
      <c r="E172" s="1">
        <v>41</v>
      </c>
      <c r="F172" s="1">
        <v>27</v>
      </c>
      <c r="G172" s="1" t="s">
        <v>610</v>
      </c>
      <c r="H172" s="1" t="s">
        <v>611</v>
      </c>
      <c r="I172" s="1">
        <f t="shared" si="25"/>
        <v>1</v>
      </c>
      <c r="J172" s="1">
        <f t="shared" si="26"/>
        <v>0</v>
      </c>
      <c r="K172" s="1">
        <f t="shared" si="27"/>
        <v>0</v>
      </c>
      <c r="L172" s="1">
        <f t="shared" si="28"/>
        <v>0</v>
      </c>
      <c r="M172" s="1">
        <f t="shared" si="29"/>
        <v>1</v>
      </c>
      <c r="P172" t="str">
        <f>IF(OR(ISNUMBER(SEARCH("全马",A172)),ISNUMBER(SEARCH("42",A172)),ISNUMBER(SEARCH("破三",A172)),ISNUMBER(SEARCH("330",A172)),ISNUMBER(SEARCH("破四",A172)),ISNUMBER(SEARCH("430",A172))),"全马",
 IF(OR(ISNUMBER(SEARCH("半马",A172)),ISNUMBER(SEARCH("21",A172)),ISNUMBER(SEARCH("145",A172)),ISNUMBER(SEARCH("200",A172)),ISNUMBER(SEARCH("130",A172))),"半马",
 "未明确"))</f>
        <v>未明确</v>
      </c>
    </row>
    <row r="173" spans="1:16" x14ac:dyDescent="0.2">
      <c r="A173" s="1" t="s">
        <v>612</v>
      </c>
      <c r="B173" s="2">
        <v>46096</v>
      </c>
      <c r="C173" s="1" t="s">
        <v>102</v>
      </c>
      <c r="D173" s="1">
        <v>534</v>
      </c>
      <c r="E173" s="1">
        <v>62</v>
      </c>
      <c r="F173" s="1">
        <v>43</v>
      </c>
      <c r="G173" s="1" t="s">
        <v>613</v>
      </c>
      <c r="H173" s="1" t="s">
        <v>614</v>
      </c>
      <c r="I173" s="1">
        <f t="shared" si="25"/>
        <v>0</v>
      </c>
      <c r="J173" s="1">
        <f t="shared" si="26"/>
        <v>1</v>
      </c>
      <c r="K173" s="1">
        <f t="shared" si="27"/>
        <v>0</v>
      </c>
      <c r="L173" s="1">
        <f t="shared" si="28"/>
        <v>0</v>
      </c>
      <c r="M173" s="1">
        <f t="shared" si="29"/>
        <v>1</v>
      </c>
      <c r="P173" t="str">
        <f>IF(OR(ISNUMBER(SEARCH("全马",A173)),ISNUMBER(SEARCH("42",A173)),ISNUMBER(SEARCH("破三",A173)),ISNUMBER(SEARCH("330",A173)),ISNUMBER(SEARCH("破四",A173)),ISNUMBER(SEARCH("430",A173))),"全马",
 IF(OR(ISNUMBER(SEARCH("半马",A173)),ISNUMBER(SEARCH("21",A173)),ISNUMBER(SEARCH("145",A173)),ISNUMBER(SEARCH("200",A173)),ISNUMBER(SEARCH("130",A173))),"半马",
 "未明确"))</f>
        <v>全马</v>
      </c>
    </row>
    <row r="174" spans="1:16" x14ac:dyDescent="0.2">
      <c r="A174" s="1" t="s">
        <v>615</v>
      </c>
      <c r="B174" s="2">
        <v>46099</v>
      </c>
      <c r="C174" s="1" t="s">
        <v>106</v>
      </c>
      <c r="D174" s="1">
        <v>289</v>
      </c>
      <c r="E174" s="1">
        <v>59</v>
      </c>
      <c r="F174" s="1">
        <v>18</v>
      </c>
      <c r="G174" s="1" t="s">
        <v>616</v>
      </c>
      <c r="H174" s="1" t="s">
        <v>617</v>
      </c>
      <c r="I174" s="1">
        <f t="shared" si="25"/>
        <v>1</v>
      </c>
      <c r="J174" s="1">
        <f t="shared" si="26"/>
        <v>0</v>
      </c>
      <c r="K174" s="1">
        <f t="shared" si="27"/>
        <v>0</v>
      </c>
      <c r="L174" s="1">
        <f t="shared" si="28"/>
        <v>0</v>
      </c>
      <c r="M174" s="1">
        <f t="shared" si="29"/>
        <v>1</v>
      </c>
      <c r="P174" t="str">
        <f>IF(OR(ISNUMBER(SEARCH("全马",A174)),ISNUMBER(SEARCH("42",A174)),ISNUMBER(SEARCH("破三",A174)),ISNUMBER(SEARCH("330",A174)),ISNUMBER(SEARCH("破四",A174)),ISNUMBER(SEARCH("430",A174))),"全马",
 IF(OR(ISNUMBER(SEARCH("半马",A174)),ISNUMBER(SEARCH("21",A174)),ISNUMBER(SEARCH("145",A174)),ISNUMBER(SEARCH("200",A174)),ISNUMBER(SEARCH("130",A174))),"半马",
 "未明确"))</f>
        <v>未明确</v>
      </c>
    </row>
    <row r="175" spans="1:16" x14ac:dyDescent="0.2">
      <c r="A175" s="1" t="s">
        <v>618</v>
      </c>
      <c r="B175" s="2">
        <v>46097</v>
      </c>
      <c r="C175" s="1" t="s">
        <v>110</v>
      </c>
      <c r="D175" s="1">
        <v>245</v>
      </c>
      <c r="E175" s="1">
        <v>36</v>
      </c>
      <c r="F175" s="1">
        <v>15</v>
      </c>
      <c r="G175" s="1" t="s">
        <v>619</v>
      </c>
      <c r="H175" s="1" t="s">
        <v>620</v>
      </c>
      <c r="I175" s="1">
        <f t="shared" si="25"/>
        <v>0</v>
      </c>
      <c r="J175" s="1">
        <f t="shared" si="26"/>
        <v>1</v>
      </c>
      <c r="K175" s="1">
        <f t="shared" si="27"/>
        <v>0</v>
      </c>
      <c r="L175" s="1">
        <f t="shared" si="28"/>
        <v>0</v>
      </c>
      <c r="M175" s="1">
        <f t="shared" si="29"/>
        <v>1</v>
      </c>
      <c r="P175" t="str">
        <f>IF(OR(ISNUMBER(SEARCH("全马",A175)),ISNUMBER(SEARCH("42",A175)),ISNUMBER(SEARCH("破三",A175)),ISNUMBER(SEARCH("330",A175)),ISNUMBER(SEARCH("破四",A175)),ISNUMBER(SEARCH("430",A175))),"全马",
 IF(OR(ISNUMBER(SEARCH("半马",A175)),ISNUMBER(SEARCH("21",A175)),ISNUMBER(SEARCH("145",A175)),ISNUMBER(SEARCH("200",A175)),ISNUMBER(SEARCH("130",A175))),"半马",
 "未明确"))</f>
        <v>未明确</v>
      </c>
    </row>
    <row r="176" spans="1:16" x14ac:dyDescent="0.2">
      <c r="A176" s="1" t="s">
        <v>624</v>
      </c>
      <c r="B176" s="2">
        <v>46096</v>
      </c>
      <c r="C176" s="1" t="s">
        <v>126</v>
      </c>
      <c r="D176" s="1">
        <v>301</v>
      </c>
      <c r="E176" s="1">
        <v>31</v>
      </c>
      <c r="F176" s="1">
        <v>17</v>
      </c>
      <c r="G176" s="1" t="s">
        <v>625</v>
      </c>
      <c r="H176" s="1" t="s">
        <v>626</v>
      </c>
      <c r="I176" s="1">
        <f t="shared" si="25"/>
        <v>0</v>
      </c>
      <c r="J176" s="1">
        <f t="shared" si="26"/>
        <v>1</v>
      </c>
      <c r="K176" s="1">
        <f t="shared" si="27"/>
        <v>0</v>
      </c>
      <c r="L176" s="1">
        <f t="shared" si="28"/>
        <v>0</v>
      </c>
      <c r="M176" s="1">
        <f t="shared" si="29"/>
        <v>1</v>
      </c>
      <c r="P176" t="str">
        <f>IF(OR(ISNUMBER(SEARCH("全马",A176)),ISNUMBER(SEARCH("42",A176)),ISNUMBER(SEARCH("破三",A176)),ISNUMBER(SEARCH("330",A176)),ISNUMBER(SEARCH("破四",A176)),ISNUMBER(SEARCH("430",A176))),"全马",
 IF(OR(ISNUMBER(SEARCH("半马",A176)),ISNUMBER(SEARCH("21",A176)),ISNUMBER(SEARCH("145",A176)),ISNUMBER(SEARCH("200",A176)),ISNUMBER(SEARCH("130",A176))),"半马",
 "未明确"))</f>
        <v>未明确</v>
      </c>
    </row>
    <row r="177" spans="1:16" x14ac:dyDescent="0.2">
      <c r="A177" s="1" t="s">
        <v>627</v>
      </c>
      <c r="B177" s="2">
        <v>46099</v>
      </c>
      <c r="C177" s="1" t="s">
        <v>130</v>
      </c>
      <c r="D177" s="1">
        <v>278</v>
      </c>
      <c r="E177" s="1">
        <v>33</v>
      </c>
      <c r="F177" s="1">
        <v>16</v>
      </c>
      <c r="G177" s="1" t="s">
        <v>628</v>
      </c>
      <c r="H177" s="1" t="s">
        <v>629</v>
      </c>
      <c r="I177" s="1">
        <f t="shared" si="25"/>
        <v>1</v>
      </c>
      <c r="J177" s="1">
        <f t="shared" si="26"/>
        <v>0</v>
      </c>
      <c r="K177" s="1">
        <f t="shared" si="27"/>
        <v>0</v>
      </c>
      <c r="L177" s="1">
        <f t="shared" si="28"/>
        <v>0</v>
      </c>
      <c r="M177" s="1">
        <f t="shared" si="29"/>
        <v>1</v>
      </c>
      <c r="P177" t="str">
        <f>IF(OR(ISNUMBER(SEARCH("全马",A177)),ISNUMBER(SEARCH("42",A177)),ISNUMBER(SEARCH("破三",A177)),ISNUMBER(SEARCH("330",A177)),ISNUMBER(SEARCH("破四",A177)),ISNUMBER(SEARCH("430",A177))),"全马",
 IF(OR(ISNUMBER(SEARCH("半马",A177)),ISNUMBER(SEARCH("21",A177)),ISNUMBER(SEARCH("145",A177)),ISNUMBER(SEARCH("200",A177)),ISNUMBER(SEARCH("130",A177))),"半马",
 "未明确"))</f>
        <v>未明确</v>
      </c>
    </row>
    <row r="178" spans="1:16" x14ac:dyDescent="0.2">
      <c r="A178" s="1" t="s">
        <v>630</v>
      </c>
      <c r="B178" s="2">
        <v>46097</v>
      </c>
      <c r="C178" s="1" t="s">
        <v>134</v>
      </c>
      <c r="D178" s="1">
        <v>267</v>
      </c>
      <c r="E178" s="1">
        <v>48</v>
      </c>
      <c r="F178" s="1">
        <v>20</v>
      </c>
      <c r="G178" s="1" t="s">
        <v>631</v>
      </c>
      <c r="H178" s="1" t="s">
        <v>632</v>
      </c>
      <c r="I178" s="1">
        <f t="shared" si="25"/>
        <v>0</v>
      </c>
      <c r="J178" s="1">
        <f t="shared" si="26"/>
        <v>1</v>
      </c>
      <c r="K178" s="1">
        <f t="shared" si="27"/>
        <v>0</v>
      </c>
      <c r="L178" s="1">
        <f t="shared" si="28"/>
        <v>0</v>
      </c>
      <c r="M178" s="1">
        <f t="shared" si="29"/>
        <v>1</v>
      </c>
      <c r="P178" t="str">
        <f>IF(OR(ISNUMBER(SEARCH("全马",A178)),ISNUMBER(SEARCH("42",A178)),ISNUMBER(SEARCH("破三",A178)),ISNUMBER(SEARCH("330",A178)),ISNUMBER(SEARCH("破四",A178)),ISNUMBER(SEARCH("430",A178))),"全马",
 IF(OR(ISNUMBER(SEARCH("半马",A178)),ISNUMBER(SEARCH("21",A178)),ISNUMBER(SEARCH("145",A178)),ISNUMBER(SEARCH("200",A178)),ISNUMBER(SEARCH("130",A178))),"半马",
 "未明确"))</f>
        <v>全马</v>
      </c>
    </row>
    <row r="179" spans="1:16" x14ac:dyDescent="0.2">
      <c r="A179" s="1" t="s">
        <v>633</v>
      </c>
      <c r="B179" s="2">
        <v>46098</v>
      </c>
      <c r="C179" s="1" t="s">
        <v>138</v>
      </c>
      <c r="D179" s="1">
        <v>389</v>
      </c>
      <c r="E179" s="1">
        <v>36</v>
      </c>
      <c r="F179" s="1">
        <v>24</v>
      </c>
      <c r="G179" s="1" t="s">
        <v>634</v>
      </c>
      <c r="H179" s="1" t="s">
        <v>635</v>
      </c>
      <c r="I179" s="1">
        <f t="shared" si="25"/>
        <v>1</v>
      </c>
      <c r="J179" s="1">
        <f t="shared" si="26"/>
        <v>0</v>
      </c>
      <c r="K179" s="1">
        <f t="shared" si="27"/>
        <v>0</v>
      </c>
      <c r="L179" s="1">
        <f t="shared" si="28"/>
        <v>0</v>
      </c>
      <c r="M179" s="1">
        <f t="shared" si="29"/>
        <v>1</v>
      </c>
      <c r="P179" t="str">
        <f>IF(OR(ISNUMBER(SEARCH("全马",A179)),ISNUMBER(SEARCH("42",A179)),ISNUMBER(SEARCH("破三",A179)),ISNUMBER(SEARCH("330",A179)),ISNUMBER(SEARCH("破四",A179)),ISNUMBER(SEARCH("430",A179))),"全马",
 IF(OR(ISNUMBER(SEARCH("半马",A179)),ISNUMBER(SEARCH("21",A179)),ISNUMBER(SEARCH("145",A179)),ISNUMBER(SEARCH("200",A179)),ISNUMBER(SEARCH("130",A179))),"半马",
 "未明确"))</f>
        <v>半马</v>
      </c>
    </row>
    <row r="180" spans="1:16" x14ac:dyDescent="0.2">
      <c r="A180" s="1" t="s">
        <v>636</v>
      </c>
      <c r="B180" s="2">
        <v>46096</v>
      </c>
      <c r="C180" s="1" t="s">
        <v>142</v>
      </c>
      <c r="D180" s="1">
        <v>234</v>
      </c>
      <c r="E180" s="1">
        <v>29</v>
      </c>
      <c r="F180" s="1">
        <v>12</v>
      </c>
      <c r="G180" s="1" t="s">
        <v>637</v>
      </c>
      <c r="H180" s="1" t="s">
        <v>638</v>
      </c>
      <c r="I180" s="1">
        <f t="shared" si="25"/>
        <v>0</v>
      </c>
      <c r="J180" s="1">
        <f t="shared" si="26"/>
        <v>1</v>
      </c>
      <c r="K180" s="1">
        <f t="shared" si="27"/>
        <v>0</v>
      </c>
      <c r="L180" s="1">
        <f t="shared" si="28"/>
        <v>0</v>
      </c>
      <c r="M180" s="1">
        <f t="shared" si="29"/>
        <v>1</v>
      </c>
      <c r="P180" t="str">
        <f>IF(OR(ISNUMBER(SEARCH("全马",A180)),ISNUMBER(SEARCH("42",A180)),ISNUMBER(SEARCH("破三",A180)),ISNUMBER(SEARCH("330",A180)),ISNUMBER(SEARCH("破四",A180)),ISNUMBER(SEARCH("430",A180))),"全马",
 IF(OR(ISNUMBER(SEARCH("半马",A180)),ISNUMBER(SEARCH("21",A180)),ISNUMBER(SEARCH("145",A180)),ISNUMBER(SEARCH("200",A180)),ISNUMBER(SEARCH("130",A180))),"半马",
 "未明确"))</f>
        <v>未明确</v>
      </c>
    </row>
    <row r="181" spans="1:16" x14ac:dyDescent="0.2">
      <c r="A181" s="1" t="s">
        <v>639</v>
      </c>
      <c r="B181" s="2">
        <v>46099</v>
      </c>
      <c r="C181" s="1" t="s">
        <v>146</v>
      </c>
      <c r="D181" s="1">
        <v>298</v>
      </c>
      <c r="E181" s="1">
        <v>35</v>
      </c>
      <c r="F181" s="1">
        <v>18</v>
      </c>
      <c r="G181" s="1" t="s">
        <v>640</v>
      </c>
      <c r="H181" s="1" t="s">
        <v>641</v>
      </c>
      <c r="I181" s="1">
        <f t="shared" si="25"/>
        <v>1</v>
      </c>
      <c r="J181" s="1">
        <f t="shared" si="26"/>
        <v>0</v>
      </c>
      <c r="K181" s="1">
        <f t="shared" si="27"/>
        <v>0</v>
      </c>
      <c r="L181" s="1">
        <f t="shared" si="28"/>
        <v>0</v>
      </c>
      <c r="M181" s="1">
        <f t="shared" si="29"/>
        <v>1</v>
      </c>
      <c r="P181" t="str">
        <f>IF(OR(ISNUMBER(SEARCH("全马",A181)),ISNUMBER(SEARCH("42",A181)),ISNUMBER(SEARCH("破三",A181)),ISNUMBER(SEARCH("330",A181)),ISNUMBER(SEARCH("破四",A181)),ISNUMBER(SEARCH("430",A181))),"全马",
 IF(OR(ISNUMBER(SEARCH("半马",A181)),ISNUMBER(SEARCH("21",A181)),ISNUMBER(SEARCH("145",A181)),ISNUMBER(SEARCH("200",A181)),ISNUMBER(SEARCH("130",A181))),"半马",
 "未明确"))</f>
        <v>未明确</v>
      </c>
    </row>
    <row r="182" spans="1:16" x14ac:dyDescent="0.2">
      <c r="A182" s="1" t="s">
        <v>642</v>
      </c>
      <c r="B182" s="2">
        <v>46097</v>
      </c>
      <c r="C182" s="1" t="s">
        <v>150</v>
      </c>
      <c r="D182" s="1">
        <v>456</v>
      </c>
      <c r="E182" s="1">
        <v>48</v>
      </c>
      <c r="F182" s="1">
        <v>34</v>
      </c>
      <c r="G182" s="1" t="s">
        <v>643</v>
      </c>
      <c r="H182" s="1" t="s">
        <v>644</v>
      </c>
      <c r="I182" s="1">
        <f t="shared" si="25"/>
        <v>1</v>
      </c>
      <c r="J182" s="1">
        <f t="shared" si="26"/>
        <v>0</v>
      </c>
      <c r="K182" s="1">
        <f t="shared" si="27"/>
        <v>0</v>
      </c>
      <c r="L182" s="1">
        <f t="shared" si="28"/>
        <v>0</v>
      </c>
      <c r="M182" s="1">
        <f t="shared" si="29"/>
        <v>1</v>
      </c>
      <c r="P182" t="str">
        <f>IF(OR(ISNUMBER(SEARCH("全马",A182)),ISNUMBER(SEARCH("42",A182)),ISNUMBER(SEARCH("破三",A182)),ISNUMBER(SEARCH("330",A182)),ISNUMBER(SEARCH("破四",A182)),ISNUMBER(SEARCH("430",A182))),"全马",
 IF(OR(ISNUMBER(SEARCH("半马",A182)),ISNUMBER(SEARCH("21",A182)),ISNUMBER(SEARCH("145",A182)),ISNUMBER(SEARCH("200",A182)),ISNUMBER(SEARCH("130",A182))),"半马",
 "未明确"))</f>
        <v>半马</v>
      </c>
    </row>
    <row r="183" spans="1:16" x14ac:dyDescent="0.2">
      <c r="A183" s="1" t="s">
        <v>645</v>
      </c>
      <c r="B183" s="2">
        <v>46098</v>
      </c>
      <c r="C183" s="1" t="s">
        <v>154</v>
      </c>
      <c r="D183" s="1">
        <v>278</v>
      </c>
      <c r="E183" s="1">
        <v>54</v>
      </c>
      <c r="F183" s="1">
        <v>19</v>
      </c>
      <c r="G183" s="1" t="s">
        <v>646</v>
      </c>
      <c r="H183" s="1" t="s">
        <v>647</v>
      </c>
      <c r="I183" s="1">
        <f t="shared" si="25"/>
        <v>0</v>
      </c>
      <c r="J183" s="1">
        <f t="shared" si="26"/>
        <v>1</v>
      </c>
      <c r="K183" s="1">
        <f t="shared" si="27"/>
        <v>0</v>
      </c>
      <c r="L183" s="1">
        <f t="shared" si="28"/>
        <v>0</v>
      </c>
      <c r="M183" s="1">
        <f t="shared" si="29"/>
        <v>1</v>
      </c>
      <c r="P183" t="str">
        <f>IF(OR(ISNUMBER(SEARCH("全马",A183)),ISNUMBER(SEARCH("42",A183)),ISNUMBER(SEARCH("破三",A183)),ISNUMBER(SEARCH("330",A183)),ISNUMBER(SEARCH("破四",A183)),ISNUMBER(SEARCH("430",A183))),"全马",
 IF(OR(ISNUMBER(SEARCH("半马",A183)),ISNUMBER(SEARCH("21",A183)),ISNUMBER(SEARCH("145",A183)),ISNUMBER(SEARCH("200",A183)),ISNUMBER(SEARCH("130",A183))),"半马",
 "未明确"))</f>
        <v>未明确</v>
      </c>
    </row>
    <row r="184" spans="1:16" x14ac:dyDescent="0.2">
      <c r="A184" s="1" t="s">
        <v>648</v>
      </c>
      <c r="B184" s="2">
        <v>46096</v>
      </c>
      <c r="C184" s="1" t="s">
        <v>158</v>
      </c>
      <c r="D184" s="1">
        <v>234</v>
      </c>
      <c r="E184" s="1">
        <v>31</v>
      </c>
      <c r="F184" s="1">
        <v>14</v>
      </c>
      <c r="G184" s="1" t="s">
        <v>649</v>
      </c>
      <c r="H184" s="1" t="s">
        <v>650</v>
      </c>
      <c r="I184" s="1">
        <f t="shared" si="25"/>
        <v>1</v>
      </c>
      <c r="J184" s="1">
        <f t="shared" si="26"/>
        <v>0</v>
      </c>
      <c r="K184" s="1">
        <f t="shared" si="27"/>
        <v>0</v>
      </c>
      <c r="L184" s="1">
        <f t="shared" si="28"/>
        <v>0</v>
      </c>
      <c r="M184" s="1">
        <f t="shared" si="29"/>
        <v>1</v>
      </c>
      <c r="P184" t="str">
        <f>IF(OR(ISNUMBER(SEARCH("全马",A184)),ISNUMBER(SEARCH("42",A184)),ISNUMBER(SEARCH("破三",A184)),ISNUMBER(SEARCH("330",A184)),ISNUMBER(SEARCH("破四",A184)),ISNUMBER(SEARCH("430",A184))),"全马",
 IF(OR(ISNUMBER(SEARCH("半马",A184)),ISNUMBER(SEARCH("21",A184)),ISNUMBER(SEARCH("145",A184)),ISNUMBER(SEARCH("200",A184)),ISNUMBER(SEARCH("130",A184))),"半马",
 "未明确"))</f>
        <v>未明确</v>
      </c>
    </row>
    <row r="185" spans="1:16" x14ac:dyDescent="0.2">
      <c r="A185" s="1" t="s">
        <v>654</v>
      </c>
      <c r="B185" s="2">
        <v>46097</v>
      </c>
      <c r="C185" s="1" t="s">
        <v>166</v>
      </c>
      <c r="D185" s="1">
        <v>356</v>
      </c>
      <c r="E185" s="1">
        <v>31</v>
      </c>
      <c r="F185" s="1">
        <v>21</v>
      </c>
      <c r="G185" s="1" t="s">
        <v>655</v>
      </c>
      <c r="H185" s="1" t="s">
        <v>656</v>
      </c>
      <c r="I185" s="1">
        <f t="shared" si="25"/>
        <v>0</v>
      </c>
      <c r="J185" s="1">
        <f t="shared" si="26"/>
        <v>1</v>
      </c>
      <c r="K185" s="1">
        <f t="shared" si="27"/>
        <v>0</v>
      </c>
      <c r="L185" s="1">
        <f t="shared" si="28"/>
        <v>0</v>
      </c>
      <c r="M185" s="1">
        <f t="shared" si="29"/>
        <v>1</v>
      </c>
      <c r="P185" t="str">
        <f>IF(OR(ISNUMBER(SEARCH("全马",A185)),ISNUMBER(SEARCH("42",A185)),ISNUMBER(SEARCH("破三",A185)),ISNUMBER(SEARCH("330",A185)),ISNUMBER(SEARCH("破四",A185)),ISNUMBER(SEARCH("430",A185))),"全马",
 IF(OR(ISNUMBER(SEARCH("半马",A185)),ISNUMBER(SEARCH("21",A185)),ISNUMBER(SEARCH("145",A185)),ISNUMBER(SEARCH("200",A185)),ISNUMBER(SEARCH("130",A185))),"半马",
 "未明确"))</f>
        <v>未明确</v>
      </c>
    </row>
    <row r="186" spans="1:16" x14ac:dyDescent="0.2">
      <c r="A186" s="1" t="s">
        <v>657</v>
      </c>
      <c r="B186" s="2">
        <v>46098</v>
      </c>
      <c r="C186" s="1" t="s">
        <v>170</v>
      </c>
      <c r="D186" s="1">
        <v>289</v>
      </c>
      <c r="E186" s="1">
        <v>62</v>
      </c>
      <c r="F186" s="1">
        <v>23</v>
      </c>
      <c r="G186" s="1" t="s">
        <v>658</v>
      </c>
      <c r="H186" s="1" t="s">
        <v>659</v>
      </c>
      <c r="I186" s="1">
        <f t="shared" si="25"/>
        <v>1</v>
      </c>
      <c r="J186" s="1">
        <f t="shared" si="26"/>
        <v>0</v>
      </c>
      <c r="K186" s="1">
        <f t="shared" si="27"/>
        <v>0</v>
      </c>
      <c r="L186" s="1">
        <f t="shared" si="28"/>
        <v>0</v>
      </c>
      <c r="M186" s="1">
        <f t="shared" si="29"/>
        <v>1</v>
      </c>
      <c r="P186" t="str">
        <f>IF(OR(ISNUMBER(SEARCH("全马",A186)),ISNUMBER(SEARCH("42",A186)),ISNUMBER(SEARCH("破三",A186)),ISNUMBER(SEARCH("330",A186)),ISNUMBER(SEARCH("破四",A186)),ISNUMBER(SEARCH("430",A186))),"全马",
 IF(OR(ISNUMBER(SEARCH("半马",A186)),ISNUMBER(SEARCH("21",A186)),ISNUMBER(SEARCH("145",A186)),ISNUMBER(SEARCH("200",A186)),ISNUMBER(SEARCH("130",A186))),"半马",
 "未明确"))</f>
        <v>未明确</v>
      </c>
    </row>
    <row r="187" spans="1:16" x14ac:dyDescent="0.2">
      <c r="A187" s="1" t="s">
        <v>663</v>
      </c>
      <c r="B187" s="2">
        <v>46099</v>
      </c>
      <c r="C187" s="1" t="s">
        <v>178</v>
      </c>
      <c r="D187" s="1">
        <v>312</v>
      </c>
      <c r="E187" s="1">
        <v>38</v>
      </c>
      <c r="F187" s="1">
        <v>19</v>
      </c>
      <c r="G187" s="1" t="s">
        <v>664</v>
      </c>
      <c r="H187" s="1" t="s">
        <v>665</v>
      </c>
      <c r="I187" s="1">
        <f t="shared" si="25"/>
        <v>1</v>
      </c>
      <c r="J187" s="1">
        <f t="shared" si="26"/>
        <v>0</v>
      </c>
      <c r="K187" s="1">
        <f t="shared" si="27"/>
        <v>0</v>
      </c>
      <c r="L187" s="1">
        <f t="shared" si="28"/>
        <v>0</v>
      </c>
      <c r="M187" s="1">
        <f t="shared" si="29"/>
        <v>1</v>
      </c>
      <c r="P187" t="str">
        <f>IF(OR(ISNUMBER(SEARCH("全马",A187)),ISNUMBER(SEARCH("42",A187)),ISNUMBER(SEARCH("破三",A187)),ISNUMBER(SEARCH("330",A187)),ISNUMBER(SEARCH("破四",A187)),ISNUMBER(SEARCH("430",A187))),"全马",
 IF(OR(ISNUMBER(SEARCH("半马",A187)),ISNUMBER(SEARCH("21",A187)),ISNUMBER(SEARCH("145",A187)),ISNUMBER(SEARCH("200",A187)),ISNUMBER(SEARCH("130",A187))),"半马",
 "未明确"))</f>
        <v>未明确</v>
      </c>
    </row>
    <row r="188" spans="1:16" x14ac:dyDescent="0.2">
      <c r="A188" s="1" t="s">
        <v>666</v>
      </c>
      <c r="B188" s="2">
        <v>46097</v>
      </c>
      <c r="C188" s="1" t="s">
        <v>182</v>
      </c>
      <c r="D188" s="1">
        <v>298</v>
      </c>
      <c r="E188" s="1">
        <v>71</v>
      </c>
      <c r="F188" s="1">
        <v>24</v>
      </c>
      <c r="G188" s="1" t="s">
        <v>667</v>
      </c>
      <c r="H188" s="1" t="s">
        <v>668</v>
      </c>
      <c r="I188" s="1">
        <f t="shared" si="25"/>
        <v>0</v>
      </c>
      <c r="J188" s="1">
        <f t="shared" si="26"/>
        <v>1</v>
      </c>
      <c r="K188" s="1">
        <f t="shared" si="27"/>
        <v>0</v>
      </c>
      <c r="L188" s="1">
        <f t="shared" si="28"/>
        <v>0</v>
      </c>
      <c r="M188" s="1">
        <f t="shared" si="29"/>
        <v>1</v>
      </c>
      <c r="P188" t="str">
        <f>IF(OR(ISNUMBER(SEARCH("全马",A188)),ISNUMBER(SEARCH("42",A188)),ISNUMBER(SEARCH("破三",A188)),ISNUMBER(SEARCH("330",A188)),ISNUMBER(SEARCH("破四",A188)),ISNUMBER(SEARCH("430",A188))),"全马",
 IF(OR(ISNUMBER(SEARCH("半马",A188)),ISNUMBER(SEARCH("21",A188)),ISNUMBER(SEARCH("145",A188)),ISNUMBER(SEARCH("200",A188)),ISNUMBER(SEARCH("130",A188))),"半马",
 "未明确"))</f>
        <v>未明确</v>
      </c>
    </row>
    <row r="189" spans="1:16" x14ac:dyDescent="0.2">
      <c r="A189" s="1" t="s">
        <v>669</v>
      </c>
      <c r="B189" s="2">
        <v>46098</v>
      </c>
      <c r="C189" s="1" t="s">
        <v>186</v>
      </c>
      <c r="D189" s="1">
        <v>345</v>
      </c>
      <c r="E189" s="1">
        <v>29</v>
      </c>
      <c r="F189" s="1">
        <v>20</v>
      </c>
      <c r="G189" s="1" t="s">
        <v>670</v>
      </c>
      <c r="H189" s="1" t="s">
        <v>671</v>
      </c>
      <c r="I189" s="1">
        <f t="shared" si="25"/>
        <v>1</v>
      </c>
      <c r="J189" s="1">
        <f t="shared" si="26"/>
        <v>0</v>
      </c>
      <c r="K189" s="1">
        <f t="shared" si="27"/>
        <v>0</v>
      </c>
      <c r="L189" s="1">
        <f t="shared" si="28"/>
        <v>0</v>
      </c>
      <c r="M189" s="1">
        <f t="shared" si="29"/>
        <v>1</v>
      </c>
      <c r="P189" t="str">
        <f>IF(OR(ISNUMBER(SEARCH("全马",A189)),ISNUMBER(SEARCH("42",A189)),ISNUMBER(SEARCH("破三",A189)),ISNUMBER(SEARCH("330",A189)),ISNUMBER(SEARCH("破四",A189)),ISNUMBER(SEARCH("430",A189))),"全马",
 IF(OR(ISNUMBER(SEARCH("半马",A189)),ISNUMBER(SEARCH("21",A189)),ISNUMBER(SEARCH("145",A189)),ISNUMBER(SEARCH("200",A189)),ISNUMBER(SEARCH("130",A189))),"半马",
 "未明确"))</f>
        <v>未明确</v>
      </c>
    </row>
    <row r="190" spans="1:16" x14ac:dyDescent="0.2">
      <c r="A190" s="1" t="s">
        <v>674</v>
      </c>
      <c r="B190" s="2">
        <v>46099</v>
      </c>
      <c r="C190" s="1" t="s">
        <v>194</v>
      </c>
      <c r="D190" s="1">
        <v>267</v>
      </c>
      <c r="E190" s="1">
        <v>27</v>
      </c>
      <c r="F190" s="1">
        <v>15</v>
      </c>
      <c r="G190" s="1" t="s">
        <v>675</v>
      </c>
      <c r="H190" s="1" t="s">
        <v>676</v>
      </c>
      <c r="I190" s="1">
        <f t="shared" si="25"/>
        <v>1</v>
      </c>
      <c r="J190" s="1">
        <f t="shared" si="26"/>
        <v>0</v>
      </c>
      <c r="K190" s="1">
        <f t="shared" si="27"/>
        <v>0</v>
      </c>
      <c r="L190" s="1">
        <f t="shared" si="28"/>
        <v>0</v>
      </c>
      <c r="M190" s="1">
        <f t="shared" si="29"/>
        <v>1</v>
      </c>
      <c r="P190" t="str">
        <f>IF(OR(ISNUMBER(SEARCH("全马",A190)),ISNUMBER(SEARCH("42",A190)),ISNUMBER(SEARCH("破三",A190)),ISNUMBER(SEARCH("330",A190)),ISNUMBER(SEARCH("破四",A190)),ISNUMBER(SEARCH("430",A190))),"全马",
 IF(OR(ISNUMBER(SEARCH("半马",A190)),ISNUMBER(SEARCH("21",A190)),ISNUMBER(SEARCH("145",A190)),ISNUMBER(SEARCH("200",A190)),ISNUMBER(SEARCH("130",A190))),"半马",
 "未明确"))</f>
        <v>未明确</v>
      </c>
    </row>
    <row r="191" spans="1:16" x14ac:dyDescent="0.2">
      <c r="A191" s="1" t="s">
        <v>677</v>
      </c>
      <c r="B191" s="2">
        <v>46097</v>
      </c>
      <c r="C191" s="1" t="s">
        <v>198</v>
      </c>
      <c r="D191" s="1">
        <v>234</v>
      </c>
      <c r="E191" s="1">
        <v>38</v>
      </c>
      <c r="F191" s="1">
        <v>13</v>
      </c>
      <c r="G191" s="1" t="s">
        <v>678</v>
      </c>
      <c r="H191" s="1" t="s">
        <v>679</v>
      </c>
      <c r="I191" s="1">
        <f t="shared" si="25"/>
        <v>0</v>
      </c>
      <c r="J191" s="1">
        <f t="shared" si="26"/>
        <v>1</v>
      </c>
      <c r="K191" s="1">
        <f t="shared" si="27"/>
        <v>0</v>
      </c>
      <c r="L191" s="1">
        <f t="shared" si="28"/>
        <v>0</v>
      </c>
      <c r="M191" s="1">
        <f t="shared" si="29"/>
        <v>1</v>
      </c>
      <c r="P191" t="str">
        <f>IF(OR(ISNUMBER(SEARCH("全马",A191)),ISNUMBER(SEARCH("42",A191)),ISNUMBER(SEARCH("破三",A191)),ISNUMBER(SEARCH("330",A191)),ISNUMBER(SEARCH("破四",A191)),ISNUMBER(SEARCH("430",A191))),"全马",
 IF(OR(ISNUMBER(SEARCH("半马",A191)),ISNUMBER(SEARCH("21",A191)),ISNUMBER(SEARCH("145",A191)),ISNUMBER(SEARCH("200",A191)),ISNUMBER(SEARCH("130",A191))),"半马",
 "未明确"))</f>
        <v>未明确</v>
      </c>
    </row>
    <row r="192" spans="1:16" x14ac:dyDescent="0.2">
      <c r="A192" s="1" t="s">
        <v>682</v>
      </c>
      <c r="B192" s="2">
        <v>46096</v>
      </c>
      <c r="C192" s="1" t="s">
        <v>206</v>
      </c>
      <c r="D192" s="1">
        <v>289</v>
      </c>
      <c r="E192" s="1">
        <v>56</v>
      </c>
      <c r="F192" s="1">
        <v>18</v>
      </c>
      <c r="G192" s="1" t="s">
        <v>683</v>
      </c>
      <c r="H192" s="1" t="s">
        <v>684</v>
      </c>
      <c r="I192" s="1">
        <f t="shared" si="25"/>
        <v>0</v>
      </c>
      <c r="J192" s="1">
        <f t="shared" si="26"/>
        <v>1</v>
      </c>
      <c r="K192" s="1">
        <f t="shared" si="27"/>
        <v>0</v>
      </c>
      <c r="L192" s="1">
        <f t="shared" si="28"/>
        <v>0</v>
      </c>
      <c r="M192" s="1">
        <f t="shared" si="29"/>
        <v>1</v>
      </c>
      <c r="P192" t="str">
        <f>IF(OR(ISNUMBER(SEARCH("全马",A192)),ISNUMBER(SEARCH("42",A192)),ISNUMBER(SEARCH("破三",A192)),ISNUMBER(SEARCH("330",A192)),ISNUMBER(SEARCH("破四",A192)),ISNUMBER(SEARCH("430",A192))),"全马",
 IF(OR(ISNUMBER(SEARCH("半马",A192)),ISNUMBER(SEARCH("21",A192)),ISNUMBER(SEARCH("145",A192)),ISNUMBER(SEARCH("200",A192)),ISNUMBER(SEARCH("130",A192))),"半马",
 "未明确"))</f>
        <v>未明确</v>
      </c>
    </row>
    <row r="193" spans="1:16" x14ac:dyDescent="0.2">
      <c r="A193" s="1" t="s">
        <v>685</v>
      </c>
      <c r="B193" s="2">
        <v>46099</v>
      </c>
      <c r="C193" s="1" t="s">
        <v>210</v>
      </c>
      <c r="D193" s="1">
        <v>278</v>
      </c>
      <c r="E193" s="1">
        <v>32</v>
      </c>
      <c r="F193" s="1">
        <v>16</v>
      </c>
      <c r="G193" s="1" t="s">
        <v>686</v>
      </c>
      <c r="H193" s="1" t="s">
        <v>687</v>
      </c>
      <c r="I193" s="1">
        <f t="shared" si="25"/>
        <v>1</v>
      </c>
      <c r="J193" s="1">
        <f t="shared" si="26"/>
        <v>0</v>
      </c>
      <c r="K193" s="1">
        <f t="shared" si="27"/>
        <v>0</v>
      </c>
      <c r="L193" s="1">
        <f t="shared" si="28"/>
        <v>0</v>
      </c>
      <c r="M193" s="1">
        <f t="shared" si="29"/>
        <v>1</v>
      </c>
      <c r="P193" t="str">
        <f>IF(OR(ISNUMBER(SEARCH("全马",A193)),ISNUMBER(SEARCH("42",A193)),ISNUMBER(SEARCH("破三",A193)),ISNUMBER(SEARCH("330",A193)),ISNUMBER(SEARCH("破四",A193)),ISNUMBER(SEARCH("430",A193))),"全马",
 IF(OR(ISNUMBER(SEARCH("半马",A193)),ISNUMBER(SEARCH("21",A193)),ISNUMBER(SEARCH("145",A193)),ISNUMBER(SEARCH("200",A193)),ISNUMBER(SEARCH("130",A193))),"半马",
 "未明确"))</f>
        <v>未明确</v>
      </c>
    </row>
    <row r="194" spans="1:16" x14ac:dyDescent="0.2">
      <c r="A194" s="1" t="s">
        <v>688</v>
      </c>
      <c r="B194" s="2">
        <v>46097</v>
      </c>
      <c r="C194" s="1" t="s">
        <v>222</v>
      </c>
      <c r="D194" s="1">
        <v>378</v>
      </c>
      <c r="E194" s="1">
        <v>49</v>
      </c>
      <c r="F194" s="1">
        <v>29</v>
      </c>
      <c r="G194" s="1" t="s">
        <v>689</v>
      </c>
      <c r="H194" s="1" t="s">
        <v>690</v>
      </c>
      <c r="I194" s="1">
        <f t="shared" si="25"/>
        <v>0</v>
      </c>
      <c r="J194" s="1">
        <f t="shared" si="26"/>
        <v>1</v>
      </c>
      <c r="K194" s="1">
        <f t="shared" si="27"/>
        <v>0</v>
      </c>
      <c r="L194" s="1">
        <f t="shared" si="28"/>
        <v>0</v>
      </c>
      <c r="M194" s="1">
        <f t="shared" ref="M194:M225" si="30">I194+J194+K194+L194</f>
        <v>1</v>
      </c>
      <c r="P194" t="str">
        <f>IF(OR(ISNUMBER(SEARCH("全马",A194)),ISNUMBER(SEARCH("42",A194)),ISNUMBER(SEARCH("破三",A194)),ISNUMBER(SEARCH("330",A194)),ISNUMBER(SEARCH("破四",A194)),ISNUMBER(SEARCH("430",A194))),"全马",
 IF(OR(ISNUMBER(SEARCH("半马",A194)),ISNUMBER(SEARCH("21",A194)),ISNUMBER(SEARCH("145",A194)),ISNUMBER(SEARCH("200",A194)),ISNUMBER(SEARCH("130",A194))),"半马",
 "未明确"))</f>
        <v>全马</v>
      </c>
    </row>
    <row r="195" spans="1:16" x14ac:dyDescent="0.2">
      <c r="A195" s="1" t="s">
        <v>691</v>
      </c>
      <c r="B195" s="2">
        <v>46098</v>
      </c>
      <c r="C195" s="1" t="s">
        <v>226</v>
      </c>
      <c r="D195" s="1">
        <v>345</v>
      </c>
      <c r="E195" s="1">
        <v>28</v>
      </c>
      <c r="F195" s="1">
        <v>18</v>
      </c>
      <c r="G195" s="1" t="s">
        <v>692</v>
      </c>
      <c r="H195" s="1" t="s">
        <v>693</v>
      </c>
      <c r="I195" s="1">
        <f t="shared" si="25"/>
        <v>1</v>
      </c>
      <c r="J195" s="1">
        <f t="shared" si="26"/>
        <v>0</v>
      </c>
      <c r="K195" s="1">
        <f t="shared" si="27"/>
        <v>0</v>
      </c>
      <c r="L195" s="1">
        <f t="shared" si="28"/>
        <v>0</v>
      </c>
      <c r="M195" s="1">
        <f t="shared" si="30"/>
        <v>1</v>
      </c>
      <c r="P195" t="str">
        <f>IF(OR(ISNUMBER(SEARCH("全马",A195)),ISNUMBER(SEARCH("42",A195)),ISNUMBER(SEARCH("破三",A195)),ISNUMBER(SEARCH("330",A195)),ISNUMBER(SEARCH("破四",A195)),ISNUMBER(SEARCH("430",A195))),"全马",
 IF(OR(ISNUMBER(SEARCH("半马",A195)),ISNUMBER(SEARCH("21",A195)),ISNUMBER(SEARCH("145",A195)),ISNUMBER(SEARCH("200",A195)),ISNUMBER(SEARCH("130",A195))),"半马",
 "未明确"))</f>
        <v>未明确</v>
      </c>
    </row>
    <row r="196" spans="1:16" x14ac:dyDescent="0.2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6" x14ac:dyDescent="0.2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6" x14ac:dyDescent="0.2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6" x14ac:dyDescent="0.2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6" x14ac:dyDescent="0.2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6" x14ac:dyDescent="0.2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6" x14ac:dyDescent="0.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6" x14ac:dyDescent="0.2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6" x14ac:dyDescent="0.2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6" x14ac:dyDescent="0.2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</row>
    <row r="206" spans="1:16" x14ac:dyDescent="0.2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</row>
  </sheetData>
  <autoFilter ref="P1:P210" xr:uid="{00000000-0001-0000-0100-000000000000}"/>
  <sortState xmlns:xlrd2="http://schemas.microsoft.com/office/spreadsheetml/2017/richdata2" ref="P2:P209">
    <sortCondition descending="1" ref="P1:P209"/>
  </sortState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52CE-0DEA-4F35-AA54-CB3759022889}">
  <dimension ref="A1:C2"/>
  <sheetViews>
    <sheetView tabSelected="1" workbookViewId="0">
      <selection activeCell="E6" sqref="E6"/>
    </sheetView>
  </sheetViews>
  <sheetFormatPr defaultRowHeight="14.25" x14ac:dyDescent="0.2"/>
  <sheetData>
    <row r="1" spans="1:3" x14ac:dyDescent="0.2">
      <c r="A1" s="4" t="s">
        <v>696</v>
      </c>
      <c r="B1" s="4" t="s">
        <v>697</v>
      </c>
      <c r="C1" s="4" t="s">
        <v>698</v>
      </c>
    </row>
    <row r="2" spans="1:3" x14ac:dyDescent="0.2">
      <c r="A2">
        <v>33</v>
      </c>
      <c r="B2">
        <v>29</v>
      </c>
      <c r="C2">
        <v>132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皓然 廖</dc:creator>
  <cp:lastModifiedBy>jiaheng hu</cp:lastModifiedBy>
  <dcterms:created xsi:type="dcterms:W3CDTF">2026-05-29T16:11:00Z</dcterms:created>
  <dcterms:modified xsi:type="dcterms:W3CDTF">2026-06-14T13:20:42Z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D4200848214A4F4B87BF60B09C14BC88_13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